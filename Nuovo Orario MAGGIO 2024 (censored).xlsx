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ar\Desktop\Chiavetta\"/>
    </mc:Choice>
  </mc:AlternateContent>
  <xr:revisionPtr revIDLastSave="0" documentId="13_ncr:1_{017910FA-3097-43D3-8221-D579FA0DC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^ Settimana" sheetId="1" r:id="rId1"/>
    <sheet name="II^ Settimana" sheetId="2" r:id="rId2"/>
  </sheets>
  <definedNames>
    <definedName name="_xlnm.Print_Area" localSheetId="0">'I^ Settimana'!$A$1:$W$28</definedName>
    <definedName name="_xlnm.Print_Area" localSheetId="1">'II^ Settimana'!$A$1:$W$28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2" l="1"/>
  <c r="P15" i="2"/>
  <c r="M15" i="2"/>
  <c r="J15" i="2"/>
  <c r="G15" i="2"/>
  <c r="D15" i="2" a="1"/>
  <c r="D15" i="2" s="1"/>
  <c r="D17" i="1" a="1"/>
  <c r="D17" i="1" s="1"/>
  <c r="D15" i="1" a="1"/>
  <c r="D15" i="1" s="1"/>
  <c r="S15" i="1"/>
  <c r="P15" i="1"/>
  <c r="M15" i="1"/>
  <c r="J15" i="1"/>
  <c r="G15" i="1"/>
  <c r="V22" i="1" a="1"/>
  <c r="V22" i="1" s="1"/>
  <c r="S22" i="1" a="1"/>
  <c r="S22" i="1" s="1"/>
  <c r="P22" i="1" a="1"/>
  <c r="P22" i="1" s="1"/>
  <c r="M22" i="1" a="1"/>
  <c r="M22" i="1" s="1"/>
  <c r="J22" i="1" a="1"/>
  <c r="J22" i="1" s="1"/>
  <c r="G22" i="1" a="1"/>
  <c r="G22" i="1" s="1"/>
  <c r="D22" i="1" a="1"/>
  <c r="D22" i="1" s="1"/>
  <c r="V20" i="1" a="1"/>
  <c r="V20" i="1" s="1"/>
  <c r="S20" i="1" a="1"/>
  <c r="S20" i="1" s="1"/>
  <c r="P20" i="1" a="1"/>
  <c r="P20" i="1" s="1"/>
  <c r="M20" i="1" a="1"/>
  <c r="M20" i="1" s="1"/>
  <c r="J20" i="1" a="1"/>
  <c r="J20" i="1" s="1"/>
  <c r="G20" i="1" a="1"/>
  <c r="G20" i="1" s="1"/>
  <c r="D20" i="1" a="1"/>
  <c r="D20" i="1" s="1"/>
  <c r="V18" i="1" a="1"/>
  <c r="V18" i="1" s="1"/>
  <c r="S18" i="1" a="1"/>
  <c r="S18" i="1" s="1"/>
  <c r="P18" i="1" a="1"/>
  <c r="P18" i="1" s="1"/>
  <c r="M18" i="1" a="1"/>
  <c r="M18" i="1" s="1"/>
  <c r="J18" i="1" a="1"/>
  <c r="J18" i="1" s="1"/>
  <c r="G18" i="1" a="1"/>
  <c r="G18" i="1" s="1"/>
  <c r="D18" i="1" a="1"/>
  <c r="D18" i="1" s="1"/>
  <c r="V16" i="1" a="1"/>
  <c r="V16" i="1" s="1"/>
  <c r="S16" i="1" a="1"/>
  <c r="S16" i="1" s="1"/>
  <c r="P16" i="1" a="1"/>
  <c r="P16" i="1" s="1"/>
  <c r="M16" i="1" a="1"/>
  <c r="M16" i="1" s="1"/>
  <c r="J16" i="1" a="1"/>
  <c r="J16" i="1" s="1"/>
  <c r="G16" i="1" a="1"/>
  <c r="G16" i="1" s="1"/>
  <c r="D16" i="1" a="1"/>
  <c r="D16" i="1" s="1"/>
  <c r="V14" i="1"/>
  <c r="V14" i="1" a="1"/>
  <c r="S14" i="1" a="1"/>
  <c r="S14" i="1" s="1"/>
  <c r="P14" i="1"/>
  <c r="P14" i="1" a="1"/>
  <c r="M14" i="1" a="1"/>
  <c r="M14" i="1" s="1"/>
  <c r="J14" i="1" a="1"/>
  <c r="J14" i="1" s="1"/>
  <c r="G14" i="1" a="1"/>
  <c r="G14" i="1" s="1"/>
  <c r="D14" i="1" a="1"/>
  <c r="D14" i="1" s="1"/>
  <c r="S13" i="1"/>
  <c r="P13" i="1"/>
  <c r="M13" i="1"/>
  <c r="J13" i="1"/>
  <c r="G13" i="1"/>
  <c r="D13" i="1"/>
  <c r="V12" i="1" a="1"/>
  <c r="V12" i="1" s="1"/>
  <c r="S12" i="1" a="1"/>
  <c r="S12" i="1" s="1"/>
  <c r="P12" i="1" a="1"/>
  <c r="P12" i="1" s="1"/>
  <c r="M12" i="1" a="1"/>
  <c r="M12" i="1" s="1"/>
  <c r="J12" i="1" a="1"/>
  <c r="J12" i="1" s="1"/>
  <c r="G12" i="1" a="1"/>
  <c r="G12" i="1" s="1"/>
  <c r="D12" i="1" a="1"/>
  <c r="D12" i="1" s="1"/>
  <c r="S11" i="1"/>
  <c r="P11" i="1"/>
  <c r="M11" i="1"/>
  <c r="J11" i="1"/>
  <c r="G11" i="1"/>
  <c r="D11" i="1"/>
  <c r="V10" i="1" a="1"/>
  <c r="V10" i="1" s="1"/>
  <c r="S10" i="1" a="1"/>
  <c r="S10" i="1" s="1"/>
  <c r="P10" i="1" a="1"/>
  <c r="P10" i="1" s="1"/>
  <c r="M10" i="1" a="1"/>
  <c r="M10" i="1" s="1"/>
  <c r="J10" i="1" a="1"/>
  <c r="J10" i="1" s="1"/>
  <c r="G10" i="1" a="1"/>
  <c r="G10" i="1" s="1"/>
  <c r="D10" i="1" a="1"/>
  <c r="D10" i="1" s="1"/>
  <c r="S9" i="1"/>
  <c r="P9" i="1"/>
  <c r="M9" i="1"/>
  <c r="J9" i="1"/>
  <c r="G9" i="1"/>
  <c r="D9" i="1"/>
  <c r="V8" i="1" a="1"/>
  <c r="V8" i="1" s="1"/>
  <c r="S8" i="1" a="1"/>
  <c r="S8" i="1" s="1"/>
  <c r="P8" i="1" a="1"/>
  <c r="P8" i="1" s="1"/>
  <c r="M8" i="1" a="1"/>
  <c r="M8" i="1" s="1"/>
  <c r="J8" i="1" a="1"/>
  <c r="J8" i="1" s="1"/>
  <c r="G8" i="1" a="1"/>
  <c r="G8" i="1" s="1"/>
  <c r="D8" i="1" a="1"/>
  <c r="D8" i="1" s="1"/>
  <c r="S7" i="1"/>
  <c r="P7" i="1"/>
  <c r="M7" i="1"/>
  <c r="J7" i="1"/>
  <c r="G7" i="1"/>
  <c r="D7" i="1"/>
  <c r="V6" i="1" a="1"/>
  <c r="V6" i="1" s="1"/>
  <c r="S6" i="1" a="1"/>
  <c r="S6" i="1" s="1"/>
  <c r="P6" i="1" a="1"/>
  <c r="P6" i="1" s="1"/>
  <c r="M6" i="1" a="1"/>
  <c r="M6" i="1" s="1"/>
  <c r="J6" i="1" a="1"/>
  <c r="J6" i="1" s="1"/>
  <c r="G6" i="1" a="1"/>
  <c r="G6" i="1" s="1"/>
  <c r="D6" i="1" a="1"/>
  <c r="D6" i="1" s="1"/>
  <c r="V22" i="2" a="1"/>
  <c r="V22" i="2" s="1"/>
  <c r="S22" i="2" a="1"/>
  <c r="S22" i="2" s="1"/>
  <c r="P22" i="2" a="1"/>
  <c r="P22" i="2" s="1"/>
  <c r="M22" i="2" a="1"/>
  <c r="M22" i="2" s="1"/>
  <c r="J22" i="2" a="1"/>
  <c r="J22" i="2" s="1"/>
  <c r="G22" i="2" a="1"/>
  <c r="G22" i="2" s="1"/>
  <c r="D22" i="2" a="1"/>
  <c r="D22" i="2" s="1"/>
  <c r="V20" i="2" a="1"/>
  <c r="V20" i="2" s="1"/>
  <c r="S20" i="2" a="1"/>
  <c r="S20" i="2" s="1"/>
  <c r="P20" i="2" a="1"/>
  <c r="P20" i="2" s="1"/>
  <c r="M20" i="2" a="1"/>
  <c r="M20" i="2" s="1"/>
  <c r="J20" i="2" a="1"/>
  <c r="J20" i="2" s="1"/>
  <c r="G20" i="2" a="1"/>
  <c r="G20" i="2" s="1"/>
  <c r="D20" i="2" a="1"/>
  <c r="D20" i="2" s="1"/>
  <c r="V18" i="2" a="1"/>
  <c r="V18" i="2" s="1"/>
  <c r="S18" i="2" a="1"/>
  <c r="S18" i="2" s="1"/>
  <c r="P18" i="2" a="1"/>
  <c r="P18" i="2" s="1"/>
  <c r="M18" i="2" a="1"/>
  <c r="M18" i="2" s="1"/>
  <c r="J18" i="2" a="1"/>
  <c r="J18" i="2" s="1"/>
  <c r="G18" i="2" a="1"/>
  <c r="G18" i="2" s="1"/>
  <c r="D18" i="2" a="1"/>
  <c r="D18" i="2" s="1"/>
  <c r="V16" i="2" a="1"/>
  <c r="V16" i="2" s="1"/>
  <c r="S16" i="2" a="1"/>
  <c r="S16" i="2" s="1"/>
  <c r="P16" i="2" a="1"/>
  <c r="P16" i="2" s="1"/>
  <c r="M16" i="2" a="1"/>
  <c r="M16" i="2" s="1"/>
  <c r="J16" i="2" a="1"/>
  <c r="J16" i="2" s="1"/>
  <c r="G16" i="2" a="1"/>
  <c r="G16" i="2" s="1"/>
  <c r="D16" i="2" a="1"/>
  <c r="D16" i="2" s="1"/>
  <c r="V14" i="2" a="1"/>
  <c r="V14" i="2" s="1"/>
  <c r="S14" i="2" a="1"/>
  <c r="S14" i="2" s="1"/>
  <c r="P14" i="2" a="1"/>
  <c r="P14" i="2" s="1"/>
  <c r="M14" i="2" a="1"/>
  <c r="M14" i="2" s="1"/>
  <c r="J14" i="2" a="1"/>
  <c r="J14" i="2" s="1"/>
  <c r="G14" i="2" a="1"/>
  <c r="G14" i="2" s="1"/>
  <c r="D14" i="2" a="1"/>
  <c r="D14" i="2" s="1"/>
  <c r="S13" i="2"/>
  <c r="P13" i="2"/>
  <c r="M13" i="2"/>
  <c r="J13" i="2"/>
  <c r="G13" i="2"/>
  <c r="D13" i="2"/>
  <c r="V12" i="2" a="1"/>
  <c r="V12" i="2" s="1"/>
  <c r="S12" i="2" a="1"/>
  <c r="S12" i="2" s="1"/>
  <c r="P12" i="2" a="1"/>
  <c r="P12" i="2" s="1"/>
  <c r="M12" i="2" a="1"/>
  <c r="M12" i="2" s="1"/>
  <c r="J12" i="2" a="1"/>
  <c r="J12" i="2" s="1"/>
  <c r="G12" i="2" a="1"/>
  <c r="G12" i="2" s="1"/>
  <c r="D12" i="2" a="1"/>
  <c r="D12" i="2" s="1"/>
  <c r="S11" i="2"/>
  <c r="P11" i="2"/>
  <c r="M11" i="2"/>
  <c r="J11" i="2"/>
  <c r="G11" i="2"/>
  <c r="D11" i="2"/>
  <c r="V10" i="2" a="1"/>
  <c r="V10" i="2" s="1"/>
  <c r="S10" i="2" a="1"/>
  <c r="S10" i="2" s="1"/>
  <c r="P10" i="2" a="1"/>
  <c r="P10" i="2" s="1"/>
  <c r="M10" i="2" a="1"/>
  <c r="M10" i="2" s="1"/>
  <c r="J10" i="2" a="1"/>
  <c r="J10" i="2" s="1"/>
  <c r="G10" i="2" a="1"/>
  <c r="G10" i="2" s="1"/>
  <c r="D10" i="2" a="1"/>
  <c r="D10" i="2" s="1"/>
  <c r="S9" i="2"/>
  <c r="P9" i="2"/>
  <c r="M9" i="2"/>
  <c r="J9" i="2"/>
  <c r="G9" i="2"/>
  <c r="D9" i="2"/>
  <c r="V8" i="2" a="1"/>
  <c r="V8" i="2" s="1"/>
  <c r="S8" i="2" a="1"/>
  <c r="S8" i="2" s="1"/>
  <c r="P8" i="2" a="1"/>
  <c r="P8" i="2" s="1"/>
  <c r="M8" i="2" a="1"/>
  <c r="M8" i="2" s="1"/>
  <c r="J8" i="2" a="1"/>
  <c r="J8" i="2" s="1"/>
  <c r="G8" i="2" a="1"/>
  <c r="G8" i="2" s="1"/>
  <c r="D8" i="2" a="1"/>
  <c r="D8" i="2" s="1"/>
  <c r="S7" i="2"/>
  <c r="P7" i="2"/>
  <c r="M7" i="2"/>
  <c r="J7" i="2"/>
  <c r="G7" i="2"/>
  <c r="D7" i="2"/>
  <c r="V6" i="2" a="1"/>
  <c r="V6" i="2" s="1"/>
  <c r="S6" i="2" a="1"/>
  <c r="S6" i="2" s="1"/>
  <c r="P6" i="2" a="1"/>
  <c r="P6" i="2" s="1"/>
  <c r="M6" i="2" a="1"/>
  <c r="M6" i="2" s="1"/>
  <c r="J6" i="2" a="1"/>
  <c r="J6" i="2" s="1"/>
  <c r="G6" i="2" a="1"/>
  <c r="G6" i="2" s="1"/>
  <c r="D6" i="2" a="1"/>
  <c r="D6" i="2" s="1"/>
  <c r="E5" i="2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<sst xmlns="http://schemas.openxmlformats.org/spreadsheetml/2006/main" count="114" uniqueCount="60">
  <si>
    <t>N.</t>
  </si>
  <si>
    <t>Nominativo</t>
  </si>
  <si>
    <t>Lunedì</t>
  </si>
  <si>
    <t>Martedì</t>
  </si>
  <si>
    <t>Mercoledì</t>
  </si>
  <si>
    <t>Giovedì</t>
  </si>
  <si>
    <t>Venerdì</t>
  </si>
  <si>
    <t>Sabato</t>
  </si>
  <si>
    <t>Domenica</t>
  </si>
  <si>
    <t>14.00 - 20.00</t>
  </si>
  <si>
    <t>7.30 - 13.30</t>
  </si>
  <si>
    <t>ORARIO DI SERVIZIO SETTIMANALE DAL</t>
  </si>
  <si>
    <t xml:space="preserve">AL </t>
  </si>
  <si>
    <t>LEGENDA</t>
  </si>
  <si>
    <t>8.00 - 14.00</t>
  </si>
  <si>
    <t>16.00 - 22.00</t>
  </si>
  <si>
    <t>8.00 - 14.30</t>
  </si>
  <si>
    <t>15.30 - 19.30</t>
  </si>
  <si>
    <t>RIPOSO</t>
  </si>
  <si>
    <t>IL RESPONSABILE DEL SETTORE P. L.</t>
  </si>
  <si>
    <t>TRIBUNALE</t>
  </si>
  <si>
    <t>Malattia</t>
  </si>
  <si>
    <t>7.30- 11.40</t>
  </si>
  <si>
    <t>Congedo gg. 00</t>
  </si>
  <si>
    <t xml:space="preserve">          Orario Estivo</t>
  </si>
  <si>
    <t>APRILE</t>
  </si>
  <si>
    <t xml:space="preserve">             Bencardino</t>
  </si>
  <si>
    <t>15.00 - 21.00</t>
  </si>
  <si>
    <t>Personale a supporto della P.L.</t>
  </si>
  <si>
    <t>Personale P.L.</t>
  </si>
  <si>
    <t xml:space="preserve">L'orario può essere modificato entro 48 ore dal Responsabile del Settore </t>
  </si>
  <si>
    <t>IL RESPONSABILE DEL PROCEDIMENTO</t>
  </si>
  <si>
    <t>MAGGIO</t>
  </si>
  <si>
    <t>Rip del 31.03.24</t>
  </si>
  <si>
    <t>8.30 - 12.40</t>
  </si>
  <si>
    <t xml:space="preserve">              Orario estivo</t>
  </si>
  <si>
    <t>8.50 - 13.00</t>
  </si>
  <si>
    <t>14.50 - 19.00</t>
  </si>
  <si>
    <t>15.50 - 20.00</t>
  </si>
  <si>
    <t>16.50 - 21.00</t>
  </si>
  <si>
    <t>17.50 - 22.00</t>
  </si>
  <si>
    <t>.</t>
  </si>
  <si>
    <t>COMANDO POLIZIA LOCALE DI "paese" (CS)</t>
  </si>
  <si>
    <t>S. Ten. Dott.ssa "nome"</t>
  </si>
  <si>
    <t>Mar. "nome"</t>
  </si>
  <si>
    <t>"nome"      MAR.LLO ORD.</t>
  </si>
  <si>
    <t>"nome"              MARESCIALLO</t>
  </si>
  <si>
    <t>"nome"      MARESCIALLO</t>
  </si>
  <si>
    <t>"nome"    MARESCIALLO</t>
  </si>
  <si>
    <t>"nome"   MARESCIALLO</t>
  </si>
  <si>
    <t>"nome"     AGENTE</t>
  </si>
  <si>
    <t>"nome"                      AUS. TRAF. P.L.</t>
  </si>
  <si>
    <t>"nome"              AUS. TRAF. P.L.</t>
  </si>
  <si>
    <t>"nome"             AUS. TRAF. P.L.</t>
  </si>
  <si>
    <t>"nome"        MAR.LLO ORD.</t>
  </si>
  <si>
    <t>"nome"            MARESCIALLO</t>
  </si>
  <si>
    <t>"nome"     MARESCIALLO</t>
  </si>
  <si>
    <t>"nome"                     AUS. TRAF. P.L.</t>
  </si>
  <si>
    <t xml:space="preserve">Mar. "nome" </t>
  </si>
  <si>
    <t xml:space="preserve">S. Ten. Dott.ssa "nome"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</si>
</sst>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0" fillId="6" borderId="16" xfId="0" applyFill="1" applyBorder="1"/>
    <xf numFmtId="0" fontId="0" fillId="6" borderId="17" xfId="0" applyFill="1" applyBorder="1"/>
    <xf numFmtId="0" fontId="8" fillId="3" borderId="9" xfId="0" applyFont="1" applyFill="1" applyBorder="1" applyAlignment="1" applyProtection="1">
      <alignment horizontal="center" vertical="center"/>
      <protection locked="0"/>
    </xf>
    <xf numFmtId="0" fontId="8" fillId="3" borderId="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1" fillId="2" borderId="19" xfId="0" applyFont="1" applyFill="1" applyBorder="1"/>
    <xf numFmtId="0" fontId="1" fillId="2" borderId="20" xfId="0" applyFont="1" applyFill="1" applyBorder="1"/>
    <xf numFmtId="0" fontId="1" fillId="7" borderId="21" xfId="0" applyFont="1" applyFill="1" applyBorder="1"/>
    <xf numFmtId="0" fontId="1" fillId="7" borderId="20" xfId="0" applyFont="1" applyFill="1" applyBorder="1"/>
    <xf numFmtId="0" fontId="2" fillId="2" borderId="20" xfId="0" applyFont="1" applyFill="1" applyBorder="1"/>
    <xf numFmtId="0" fontId="8" fillId="3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3" borderId="11" xfId="0" applyFont="1" applyFill="1" applyBorder="1" applyProtection="1"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20" xfId="0" applyFont="1" applyFill="1" applyBorder="1" applyAlignment="1" applyProtection="1">
      <alignment horizontal="center"/>
      <protection locked="0"/>
    </xf>
    <xf numFmtId="0" fontId="2" fillId="2" borderId="22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10" borderId="0" xfId="0" applyFill="1"/>
    <xf numFmtId="164" fontId="0" fillId="0" borderId="0" xfId="0" applyNumberFormat="1"/>
    <xf numFmtId="0" fontId="0" fillId="8" borderId="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" xfId="0" applyFill="1" applyBorder="1" applyAlignment="1" applyProtection="1">
      <alignment horizontal="center"/>
      <protection locked="0"/>
    </xf>
    <xf numFmtId="0" fontId="0" fillId="8" borderId="9" xfId="0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5" borderId="25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8" borderId="25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left" vertical="center"/>
    </xf>
    <xf numFmtId="0" fontId="0" fillId="9" borderId="17" xfId="0" applyFill="1" applyBorder="1" applyAlignment="1">
      <alignment horizontal="left" vertical="center"/>
    </xf>
    <xf numFmtId="0" fontId="0" fillId="9" borderId="24" xfId="0" applyFill="1" applyBorder="1" applyAlignment="1">
      <alignment horizontal="left" vertical="center"/>
    </xf>
    <xf numFmtId="0" fontId="0" fillId="9" borderId="27" xfId="0" applyFill="1" applyBorder="1" applyAlignment="1">
      <alignment horizontal="left" vertical="center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0" fontId="5" fillId="9" borderId="15" xfId="0" applyFont="1" applyFill="1" applyBorder="1" applyAlignment="1">
      <alignment horizontal="center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18" xfId="0" applyFont="1" applyFill="1" applyBorder="1" applyAlignment="1">
      <alignment horizontal="right"/>
    </xf>
    <xf numFmtId="0" fontId="9" fillId="3" borderId="11" xfId="0" applyFont="1" applyFill="1" applyBorder="1" applyAlignment="1">
      <alignment horizontal="right"/>
    </xf>
    <xf numFmtId="0" fontId="2" fillId="8" borderId="3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3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</cellXfs>
  <cellStyles count="1">
    <cellStyle name="Normale" xfId="0" builtinId="0"/>
  </cellStyles>
  <dxfs count="6">
    <dxf>
      <font>
        <color rgb="FFC00000"/>
      </font>
      <fill>
        <patternFill>
          <bgColor theme="9" tint="0.59996337778862885"/>
        </patternFill>
      </fill>
    </dxf>
    <dxf>
      <font>
        <color theme="0" tint="-0.14996795556505021"/>
      </font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 tint="-0.14996795556505021"/>
      </font>
    </dxf>
    <dxf>
      <font>
        <color rgb="FFC0000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2AF6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23</xdr:row>
      <xdr:rowOff>123825</xdr:rowOff>
    </xdr:from>
    <xdr:to>
      <xdr:col>15</xdr:col>
      <xdr:colOff>21590</xdr:colOff>
      <xdr:row>27</xdr:row>
      <xdr:rowOff>142875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8BFAF5-A982-EA39-512C-D1BBA7DF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6143625"/>
          <a:ext cx="983615" cy="1085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FD09C5DE-486D-4D4B-B06F-4F7990609E72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16" name="Connettore 2 15">
          <a:extLst>
            <a:ext uri="{FF2B5EF4-FFF2-40B4-BE49-F238E27FC236}">
              <a16:creationId xmlns:a16="http://schemas.microsoft.com/office/drawing/2014/main" id="{E29DA7BB-0E40-4896-92C3-AF366D4F9E12}"/>
            </a:ext>
          </a:extLst>
        </xdr:cNvPr>
        <xdr:cNvCxnSpPr/>
      </xdr:nvCxnSpPr>
      <xdr:spPr>
        <a:xfrm flipH="1">
          <a:off x="12201525" y="21717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20" name="Connettore 2 19">
          <a:extLst>
            <a:ext uri="{FF2B5EF4-FFF2-40B4-BE49-F238E27FC236}">
              <a16:creationId xmlns:a16="http://schemas.microsoft.com/office/drawing/2014/main" id="{32BDA4F4-8FA8-44AC-94A6-F7537C0C00D7}"/>
            </a:ext>
          </a:extLst>
        </xdr:cNvPr>
        <xdr:cNvCxnSpPr/>
      </xdr:nvCxnSpPr>
      <xdr:spPr>
        <a:xfrm flipH="1">
          <a:off x="12230100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2" name="Connettore 2 51">
          <a:extLst>
            <a:ext uri="{FF2B5EF4-FFF2-40B4-BE49-F238E27FC236}">
              <a16:creationId xmlns:a16="http://schemas.microsoft.com/office/drawing/2014/main" id="{A50C368D-94F6-4E6B-A299-38E588C5C213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53" name="Connettore 2 52">
          <a:extLst>
            <a:ext uri="{FF2B5EF4-FFF2-40B4-BE49-F238E27FC236}">
              <a16:creationId xmlns:a16="http://schemas.microsoft.com/office/drawing/2014/main" id="{5AE4335A-CF5F-43B6-AF38-6F5C9EE73833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5" name="Connettore 2 54">
          <a:extLst>
            <a:ext uri="{FF2B5EF4-FFF2-40B4-BE49-F238E27FC236}">
              <a16:creationId xmlns:a16="http://schemas.microsoft.com/office/drawing/2014/main" id="{B9C1A4C8-2BB2-48DF-8388-F0FFCADE450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56" name="Connettore 2 55">
          <a:extLst>
            <a:ext uri="{FF2B5EF4-FFF2-40B4-BE49-F238E27FC236}">
              <a16:creationId xmlns:a16="http://schemas.microsoft.com/office/drawing/2014/main" id="{4F72BE43-D1A7-47EF-8461-355B8B3DD146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8" name="Connettore 2 57">
          <a:extLst>
            <a:ext uri="{FF2B5EF4-FFF2-40B4-BE49-F238E27FC236}">
              <a16:creationId xmlns:a16="http://schemas.microsoft.com/office/drawing/2014/main" id="{717AD08A-4E00-48B4-A817-6D66BF5FF706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59" name="Connettore 2 58">
          <a:extLst>
            <a:ext uri="{FF2B5EF4-FFF2-40B4-BE49-F238E27FC236}">
              <a16:creationId xmlns:a16="http://schemas.microsoft.com/office/drawing/2014/main" id="{521B1D28-5FEC-4180-930D-51635EE21B15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61" name="Connettore 2 60">
          <a:extLst>
            <a:ext uri="{FF2B5EF4-FFF2-40B4-BE49-F238E27FC236}">
              <a16:creationId xmlns:a16="http://schemas.microsoft.com/office/drawing/2014/main" id="{5A1101ED-3DD7-4078-8412-9EAC6EBC9051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62" name="Connettore 2 61">
          <a:extLst>
            <a:ext uri="{FF2B5EF4-FFF2-40B4-BE49-F238E27FC236}">
              <a16:creationId xmlns:a16="http://schemas.microsoft.com/office/drawing/2014/main" id="{4DC82D66-3E1E-4BDD-9E57-FB74F3C8F35B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64" name="Connettore 2 63">
          <a:extLst>
            <a:ext uri="{FF2B5EF4-FFF2-40B4-BE49-F238E27FC236}">
              <a16:creationId xmlns:a16="http://schemas.microsoft.com/office/drawing/2014/main" id="{0648503C-8239-4AE2-A89E-F8F42D6F0E8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65" name="Connettore 2 64">
          <a:extLst>
            <a:ext uri="{FF2B5EF4-FFF2-40B4-BE49-F238E27FC236}">
              <a16:creationId xmlns:a16="http://schemas.microsoft.com/office/drawing/2014/main" id="{DF1B2A82-8F3C-44B1-B741-5E3A88B5D037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67" name="Connettore 2 66">
          <a:extLst>
            <a:ext uri="{FF2B5EF4-FFF2-40B4-BE49-F238E27FC236}">
              <a16:creationId xmlns:a16="http://schemas.microsoft.com/office/drawing/2014/main" id="{BBAAF23C-FDCF-4E81-9393-6C2F3D62A24A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68" name="Connettore 2 67">
          <a:extLst>
            <a:ext uri="{FF2B5EF4-FFF2-40B4-BE49-F238E27FC236}">
              <a16:creationId xmlns:a16="http://schemas.microsoft.com/office/drawing/2014/main" id="{25050F7A-5F97-486E-A05D-5156DFE6AF3F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70" name="Connettore 2 69">
          <a:extLst>
            <a:ext uri="{FF2B5EF4-FFF2-40B4-BE49-F238E27FC236}">
              <a16:creationId xmlns:a16="http://schemas.microsoft.com/office/drawing/2014/main" id="{2EBB40CB-118E-4CE9-98C2-82D41F7F4DCB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73" name="Connettore 2 72">
          <a:extLst>
            <a:ext uri="{FF2B5EF4-FFF2-40B4-BE49-F238E27FC236}">
              <a16:creationId xmlns:a16="http://schemas.microsoft.com/office/drawing/2014/main" id="{1ED7BDFA-913C-40BC-AA8E-2E347D2A9F45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76" name="Connettore 2 75">
          <a:extLst>
            <a:ext uri="{FF2B5EF4-FFF2-40B4-BE49-F238E27FC236}">
              <a16:creationId xmlns:a16="http://schemas.microsoft.com/office/drawing/2014/main" id="{61980703-83D4-4FE8-AEE3-15BA69A38510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79" name="Connettore 2 78">
          <a:extLst>
            <a:ext uri="{FF2B5EF4-FFF2-40B4-BE49-F238E27FC236}">
              <a16:creationId xmlns:a16="http://schemas.microsoft.com/office/drawing/2014/main" id="{64246FFA-5521-4B7A-A82B-B9728402A18B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82" name="Connettore 2 81">
          <a:extLst>
            <a:ext uri="{FF2B5EF4-FFF2-40B4-BE49-F238E27FC236}">
              <a16:creationId xmlns:a16="http://schemas.microsoft.com/office/drawing/2014/main" id="{5F599421-E09D-4ACE-B13B-F7B3341F728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85" name="Connettore 2 84">
          <a:extLst>
            <a:ext uri="{FF2B5EF4-FFF2-40B4-BE49-F238E27FC236}">
              <a16:creationId xmlns:a16="http://schemas.microsoft.com/office/drawing/2014/main" id="{0071801A-168D-4EFA-9253-BF0FFD787C26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88" name="Connettore 2 87">
          <a:extLst>
            <a:ext uri="{FF2B5EF4-FFF2-40B4-BE49-F238E27FC236}">
              <a16:creationId xmlns:a16="http://schemas.microsoft.com/office/drawing/2014/main" id="{778428C8-657D-4C18-9D72-194CF24C4B4F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90" name="Connettore 2 89">
          <a:extLst>
            <a:ext uri="{FF2B5EF4-FFF2-40B4-BE49-F238E27FC236}">
              <a16:creationId xmlns:a16="http://schemas.microsoft.com/office/drawing/2014/main" id="{35BF55A5-13E7-47F9-A2F3-D6444CC83268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91" name="Connettore 2 90">
          <a:extLst>
            <a:ext uri="{FF2B5EF4-FFF2-40B4-BE49-F238E27FC236}">
              <a16:creationId xmlns:a16="http://schemas.microsoft.com/office/drawing/2014/main" id="{C89F1D3D-FF85-4446-ABD3-9F9C6100F747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93" name="Connettore 2 92">
          <a:extLst>
            <a:ext uri="{FF2B5EF4-FFF2-40B4-BE49-F238E27FC236}">
              <a16:creationId xmlns:a16="http://schemas.microsoft.com/office/drawing/2014/main" id="{930366B5-435A-4864-BA1B-858336B98B23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94" name="Connettore 2 93">
          <a:extLst>
            <a:ext uri="{FF2B5EF4-FFF2-40B4-BE49-F238E27FC236}">
              <a16:creationId xmlns:a16="http://schemas.microsoft.com/office/drawing/2014/main" id="{49A525CC-2F5E-4BF2-BDA9-0B85F51852CE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276226</xdr:colOff>
      <xdr:row>23</xdr:row>
      <xdr:rowOff>123826</xdr:rowOff>
    </xdr:from>
    <xdr:to>
      <xdr:col>15</xdr:col>
      <xdr:colOff>9525</xdr:colOff>
      <xdr:row>27</xdr:row>
      <xdr:rowOff>19171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D9B9BF9D-A286-4E5A-AFE4-31EE1F68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6" y="6162676"/>
          <a:ext cx="885824" cy="9716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15" name="Connettore 2 14">
          <a:extLst>
            <a:ext uri="{FF2B5EF4-FFF2-40B4-BE49-F238E27FC236}">
              <a16:creationId xmlns:a16="http://schemas.microsoft.com/office/drawing/2014/main" id="{C7BC6628-8934-4BF1-9C6B-4D150A3296B3}"/>
            </a:ext>
          </a:extLst>
        </xdr:cNvPr>
        <xdr:cNvCxnSpPr/>
      </xdr:nvCxnSpPr>
      <xdr:spPr>
        <a:xfrm flipH="1">
          <a:off x="12201525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16" name="Connettore 2 15">
          <a:extLst>
            <a:ext uri="{FF2B5EF4-FFF2-40B4-BE49-F238E27FC236}">
              <a16:creationId xmlns:a16="http://schemas.microsoft.com/office/drawing/2014/main" id="{6C5E4EB7-6465-497F-B55A-02BF524DF373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33" name="Connettore 2 32">
          <a:extLst>
            <a:ext uri="{FF2B5EF4-FFF2-40B4-BE49-F238E27FC236}">
              <a16:creationId xmlns:a16="http://schemas.microsoft.com/office/drawing/2014/main" id="{BFE1B545-417E-4B6D-BCD6-53C6C95C81CC}"/>
            </a:ext>
          </a:extLst>
        </xdr:cNvPr>
        <xdr:cNvCxnSpPr/>
      </xdr:nvCxnSpPr>
      <xdr:spPr>
        <a:xfrm flipH="1">
          <a:off x="12201525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34" name="Connettore 2 33">
          <a:extLst>
            <a:ext uri="{FF2B5EF4-FFF2-40B4-BE49-F238E27FC236}">
              <a16:creationId xmlns:a16="http://schemas.microsoft.com/office/drawing/2014/main" id="{AA167B57-BF18-4EDD-9443-204BAA85D35C}"/>
            </a:ext>
          </a:extLst>
        </xdr:cNvPr>
        <xdr:cNvCxnSpPr/>
      </xdr:nvCxnSpPr>
      <xdr:spPr>
        <a:xfrm flipH="1">
          <a:off x="12230100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ACE959C4-21D7-4FEA-8E2B-28AE85B35D52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7" name="Connettore 2 6">
          <a:extLst>
            <a:ext uri="{FF2B5EF4-FFF2-40B4-BE49-F238E27FC236}">
              <a16:creationId xmlns:a16="http://schemas.microsoft.com/office/drawing/2014/main" id="{21ABAC2E-416D-4FB4-B381-04B7E7617F36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8" name="Connettore 2 7">
          <a:extLst>
            <a:ext uri="{FF2B5EF4-FFF2-40B4-BE49-F238E27FC236}">
              <a16:creationId xmlns:a16="http://schemas.microsoft.com/office/drawing/2014/main" id="{94F80D93-9A66-411E-BEFA-1F13500E9DDA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2" name="Connettore 2 1">
          <a:extLst>
            <a:ext uri="{FF2B5EF4-FFF2-40B4-BE49-F238E27FC236}">
              <a16:creationId xmlns:a16="http://schemas.microsoft.com/office/drawing/2014/main" id="{E41622DB-AC91-4559-B334-1C7C8C092A11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3" name="Connettore 2 2">
          <a:extLst>
            <a:ext uri="{FF2B5EF4-FFF2-40B4-BE49-F238E27FC236}">
              <a16:creationId xmlns:a16="http://schemas.microsoft.com/office/drawing/2014/main" id="{9E8D00B1-1890-42FD-B6BA-1AD77786F596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0016F314-9D5C-4837-B63A-A0C4139216E7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2403A8AF-6173-41C5-843F-50A2577D68C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11" name="Connettore 2 10">
          <a:extLst>
            <a:ext uri="{FF2B5EF4-FFF2-40B4-BE49-F238E27FC236}">
              <a16:creationId xmlns:a16="http://schemas.microsoft.com/office/drawing/2014/main" id="{BD78138B-5C52-4F87-82AE-A027CBEBBAA7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14" name="Connettore 2 13">
          <a:extLst>
            <a:ext uri="{FF2B5EF4-FFF2-40B4-BE49-F238E27FC236}">
              <a16:creationId xmlns:a16="http://schemas.microsoft.com/office/drawing/2014/main" id="{3EA48A07-62AC-4B50-AA29-B418451CDA6A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A99817A5-C61E-427E-8D14-C68E93B17383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19" name="Connettore 2 18">
          <a:extLst>
            <a:ext uri="{FF2B5EF4-FFF2-40B4-BE49-F238E27FC236}">
              <a16:creationId xmlns:a16="http://schemas.microsoft.com/office/drawing/2014/main" id="{664EFFB3-A84F-4648-94E3-B38B1D518AF6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20" name="Connettore 2 19">
          <a:extLst>
            <a:ext uri="{FF2B5EF4-FFF2-40B4-BE49-F238E27FC236}">
              <a16:creationId xmlns:a16="http://schemas.microsoft.com/office/drawing/2014/main" id="{E57E230D-3D31-44DF-9EF7-40339AA78CE1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22" name="Connettore 2 21">
          <a:extLst>
            <a:ext uri="{FF2B5EF4-FFF2-40B4-BE49-F238E27FC236}">
              <a16:creationId xmlns:a16="http://schemas.microsoft.com/office/drawing/2014/main" id="{7A46325B-544C-47A1-BC77-D54A6F420DC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23" name="Connettore 2 22">
          <a:extLst>
            <a:ext uri="{FF2B5EF4-FFF2-40B4-BE49-F238E27FC236}">
              <a16:creationId xmlns:a16="http://schemas.microsoft.com/office/drawing/2014/main" id="{7A73945D-7DE6-49EE-8720-8085AD924CCA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25" name="Connettore 2 24">
          <a:extLst>
            <a:ext uri="{FF2B5EF4-FFF2-40B4-BE49-F238E27FC236}">
              <a16:creationId xmlns:a16="http://schemas.microsoft.com/office/drawing/2014/main" id="{6282578D-3C85-408A-B74B-4103653F0140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26" name="Connettore 2 25">
          <a:extLst>
            <a:ext uri="{FF2B5EF4-FFF2-40B4-BE49-F238E27FC236}">
              <a16:creationId xmlns:a16="http://schemas.microsoft.com/office/drawing/2014/main" id="{9E92A87C-4927-403D-805E-D882F9BCBB74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28" name="Connettore 2 27">
          <a:extLst>
            <a:ext uri="{FF2B5EF4-FFF2-40B4-BE49-F238E27FC236}">
              <a16:creationId xmlns:a16="http://schemas.microsoft.com/office/drawing/2014/main" id="{31CE6823-8BC5-453F-9BFA-535FD6D349DC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47625</xdr:colOff>
      <xdr:row>11</xdr:row>
      <xdr:rowOff>0</xdr:rowOff>
    </xdr:from>
    <xdr:to>
      <xdr:col>28</xdr:col>
      <xdr:colOff>371475</xdr:colOff>
      <xdr:row>11</xdr:row>
      <xdr:rowOff>0</xdr:rowOff>
    </xdr:to>
    <xdr:cxnSp macro="">
      <xdr:nvCxnSpPr>
        <xdr:cNvPr id="29" name="Connettore 2 28">
          <a:extLst>
            <a:ext uri="{FF2B5EF4-FFF2-40B4-BE49-F238E27FC236}">
              <a16:creationId xmlns:a16="http://schemas.microsoft.com/office/drawing/2014/main" id="{764DE87D-775A-465C-AC57-0685D9CF8061}"/>
            </a:ext>
          </a:extLst>
        </xdr:cNvPr>
        <xdr:cNvCxnSpPr/>
      </xdr:nvCxnSpPr>
      <xdr:spPr>
        <a:xfrm flipH="1">
          <a:off x="11915775" y="272415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31" name="Connettore 2 30">
          <a:extLst>
            <a:ext uri="{FF2B5EF4-FFF2-40B4-BE49-F238E27FC236}">
              <a16:creationId xmlns:a16="http://schemas.microsoft.com/office/drawing/2014/main" id="{9748108C-1A22-4E73-865A-732D30D2CA4B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37" name="Connettore 2 36">
          <a:extLst>
            <a:ext uri="{FF2B5EF4-FFF2-40B4-BE49-F238E27FC236}">
              <a16:creationId xmlns:a16="http://schemas.microsoft.com/office/drawing/2014/main" id="{6D58FBD9-7BDB-444A-A431-7FFAEBC38C45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40" name="Connettore 2 39">
          <a:extLst>
            <a:ext uri="{FF2B5EF4-FFF2-40B4-BE49-F238E27FC236}">
              <a16:creationId xmlns:a16="http://schemas.microsoft.com/office/drawing/2014/main" id="{23A21A63-ECAC-4DF2-A818-47D1B07B2FB9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43" name="Connettore 2 42">
          <a:extLst>
            <a:ext uri="{FF2B5EF4-FFF2-40B4-BE49-F238E27FC236}">
              <a16:creationId xmlns:a16="http://schemas.microsoft.com/office/drawing/2014/main" id="{E7849AD8-7AAC-498F-A37B-98C6ECD0DD13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46" name="Connettore 2 45">
          <a:extLst>
            <a:ext uri="{FF2B5EF4-FFF2-40B4-BE49-F238E27FC236}">
              <a16:creationId xmlns:a16="http://schemas.microsoft.com/office/drawing/2014/main" id="{E60453C0-D8ED-4B96-ABF8-F4A1B127939D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49" name="Connettore 2 48">
          <a:extLst>
            <a:ext uri="{FF2B5EF4-FFF2-40B4-BE49-F238E27FC236}">
              <a16:creationId xmlns:a16="http://schemas.microsoft.com/office/drawing/2014/main" id="{F6511356-A2DA-476A-979C-78799C7C26A4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2" name="Connettore 2 51">
          <a:extLst>
            <a:ext uri="{FF2B5EF4-FFF2-40B4-BE49-F238E27FC236}">
              <a16:creationId xmlns:a16="http://schemas.microsoft.com/office/drawing/2014/main" id="{C986FCD1-BAB7-467A-8BA2-0C23A3A24DC8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54" name="Connettore 2 53">
          <a:extLst>
            <a:ext uri="{FF2B5EF4-FFF2-40B4-BE49-F238E27FC236}">
              <a16:creationId xmlns:a16="http://schemas.microsoft.com/office/drawing/2014/main" id="{EAEE7D1B-6CBF-4636-B3C2-8376178461A9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5" name="Connettore 2 54">
          <a:extLst>
            <a:ext uri="{FF2B5EF4-FFF2-40B4-BE49-F238E27FC236}">
              <a16:creationId xmlns:a16="http://schemas.microsoft.com/office/drawing/2014/main" id="{10DD9956-8277-4D9B-868E-E8E0AA4C0D3A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17</xdr:row>
      <xdr:rowOff>266700</xdr:rowOff>
    </xdr:from>
    <xdr:to>
      <xdr:col>28</xdr:col>
      <xdr:colOff>342900</xdr:colOff>
      <xdr:row>17</xdr:row>
      <xdr:rowOff>266700</xdr:rowOff>
    </xdr:to>
    <xdr:cxnSp macro="">
      <xdr:nvCxnSpPr>
        <xdr:cNvPr id="57" name="Connettore 2 56">
          <a:extLst>
            <a:ext uri="{FF2B5EF4-FFF2-40B4-BE49-F238E27FC236}">
              <a16:creationId xmlns:a16="http://schemas.microsoft.com/office/drawing/2014/main" id="{FF0BE073-80AB-4282-A836-B6A71FFC403C}"/>
            </a:ext>
          </a:extLst>
        </xdr:cNvPr>
        <xdr:cNvCxnSpPr/>
      </xdr:nvCxnSpPr>
      <xdr:spPr>
        <a:xfrm flipH="1">
          <a:off x="11887200" y="4648200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</xdr:colOff>
      <xdr:row>9</xdr:row>
      <xdr:rowOff>9525</xdr:rowOff>
    </xdr:from>
    <xdr:to>
      <xdr:col>28</xdr:col>
      <xdr:colOff>342900</xdr:colOff>
      <xdr:row>9</xdr:row>
      <xdr:rowOff>9525</xdr:rowOff>
    </xdr:to>
    <xdr:cxnSp macro="">
      <xdr:nvCxnSpPr>
        <xdr:cNvPr id="58" name="Connettore 2 57">
          <a:extLst>
            <a:ext uri="{FF2B5EF4-FFF2-40B4-BE49-F238E27FC236}">
              <a16:creationId xmlns:a16="http://schemas.microsoft.com/office/drawing/2014/main" id="{341DA0FB-C7E3-4939-B406-CF46024BC853}"/>
            </a:ext>
          </a:extLst>
        </xdr:cNvPr>
        <xdr:cNvCxnSpPr/>
      </xdr:nvCxnSpPr>
      <xdr:spPr>
        <a:xfrm flipH="1">
          <a:off x="11887200" y="2181225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0"/>
  <sheetViews>
    <sheetView tabSelected="1" workbookViewId="0">
      <selection activeCell="B22" sqref="B22:B23"/>
    </sheetView>
  </sheetViews>
  <sheetFormatPr defaultRowHeight="14.4" x14ac:dyDescent="0.3"/>
  <cols>
    <col min="1" max="1" width="4" customWidth="1"/>
    <col min="2" max="2" width="16" customWidth="1"/>
    <col min="3" max="3" width="3" customWidth="1"/>
    <col min="4" max="4" width="11" customWidth="1"/>
    <col min="5" max="5" width="3.33203125" customWidth="1"/>
    <col min="6" max="6" width="3" customWidth="1"/>
    <col min="7" max="7" width="11" customWidth="1"/>
    <col min="8" max="8" width="3.33203125" customWidth="1"/>
    <col min="9" max="9" width="3" customWidth="1"/>
    <col min="10" max="10" width="11" customWidth="1"/>
    <col min="11" max="11" width="3.33203125" customWidth="1"/>
    <col min="12" max="12" width="3" customWidth="1"/>
    <col min="13" max="13" width="11" customWidth="1"/>
    <col min="14" max="14" width="3.33203125" customWidth="1"/>
    <col min="15" max="15" width="3" customWidth="1"/>
    <col min="16" max="16" width="11" customWidth="1"/>
    <col min="17" max="17" width="3.33203125" customWidth="1"/>
    <col min="18" max="18" width="3" customWidth="1"/>
    <col min="19" max="19" width="11" customWidth="1"/>
    <col min="20" max="20" width="3.33203125" customWidth="1"/>
    <col min="21" max="21" width="3" customWidth="1"/>
    <col min="22" max="22" width="11" customWidth="1"/>
    <col min="23" max="23" width="3.33203125" customWidth="1"/>
    <col min="25" max="25" width="9.109375" customWidth="1"/>
    <col min="26" max="26" width="4.44140625" customWidth="1"/>
    <col min="27" max="27" width="11" customWidth="1"/>
    <col min="28" max="28" width="3.33203125" customWidth="1"/>
  </cols>
  <sheetData>
    <row r="1" spans="1:38" ht="24.6" x14ac:dyDescent="0.4">
      <c r="A1" s="82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</row>
    <row r="2" spans="1:38" ht="10.5" customHeight="1" x14ac:dyDescent="0.35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"/>
    </row>
    <row r="3" spans="1:38" ht="16.2" thickBot="1" x14ac:dyDescent="0.35">
      <c r="A3" s="86" t="s">
        <v>11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16">
        <v>29</v>
      </c>
      <c r="M3" s="17" t="s">
        <v>25</v>
      </c>
      <c r="N3" s="18" t="s">
        <v>12</v>
      </c>
      <c r="O3" s="16">
        <v>5</v>
      </c>
      <c r="P3" s="16" t="s">
        <v>32</v>
      </c>
      <c r="Q3" s="85">
        <v>2024</v>
      </c>
      <c r="R3" s="85"/>
      <c r="S3" s="19"/>
      <c r="T3" s="19"/>
      <c r="U3" s="19"/>
      <c r="V3" s="19"/>
      <c r="W3" s="20"/>
    </row>
    <row r="4" spans="1:38" ht="15" thickBot="1" x14ac:dyDescent="0.35">
      <c r="A4" s="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4"/>
      <c r="Z4" s="99" t="s">
        <v>13</v>
      </c>
      <c r="AA4" s="100"/>
      <c r="AB4" s="100"/>
      <c r="AC4" s="100"/>
      <c r="AD4" s="101"/>
    </row>
    <row r="5" spans="1:38" ht="15" thickBot="1" x14ac:dyDescent="0.35">
      <c r="A5" s="9" t="s">
        <v>0</v>
      </c>
      <c r="B5" s="10" t="s">
        <v>1</v>
      </c>
      <c r="C5" s="11"/>
      <c r="D5" s="10" t="s">
        <v>2</v>
      </c>
      <c r="E5" s="21">
        <f>L3</f>
        <v>29</v>
      </c>
      <c r="F5" s="11"/>
      <c r="G5" s="10" t="s">
        <v>3</v>
      </c>
      <c r="H5" s="22">
        <v>30</v>
      </c>
      <c r="I5" s="12"/>
      <c r="J5" s="10" t="s">
        <v>4</v>
      </c>
      <c r="K5" s="22">
        <v>1</v>
      </c>
      <c r="L5" s="12"/>
      <c r="M5" s="10" t="s">
        <v>5</v>
      </c>
      <c r="N5" s="22">
        <v>2</v>
      </c>
      <c r="O5" s="12"/>
      <c r="P5" s="10" t="s">
        <v>6</v>
      </c>
      <c r="Q5" s="22">
        <v>3</v>
      </c>
      <c r="R5" s="12"/>
      <c r="S5" s="10" t="s">
        <v>7</v>
      </c>
      <c r="T5" s="22">
        <v>4</v>
      </c>
      <c r="U5" s="12"/>
      <c r="V5" s="13" t="s">
        <v>8</v>
      </c>
      <c r="W5" s="23">
        <v>5</v>
      </c>
      <c r="Z5" s="53"/>
      <c r="AA5" s="54"/>
      <c r="AB5" s="54"/>
      <c r="AC5" s="54"/>
      <c r="AD5" s="55"/>
    </row>
    <row r="6" spans="1:38" ht="21.9" customHeight="1" x14ac:dyDescent="0.3">
      <c r="A6" s="95">
        <v>1</v>
      </c>
      <c r="B6" s="93" t="s">
        <v>45</v>
      </c>
      <c r="C6" s="14">
        <v>14</v>
      </c>
      <c r="D6" s="52" t="str" cm="1">
        <f t="array" ref="D6">_xlfn.IFS(C6=1,AA6,C6=2,AA7,C6=3,AA8,C6=4,AA9,C6=5,AA10,C6=6,AA11,C6=7,AA12,C6=8,AA13,C6=9,AA14,C6=10,AA15,C6=11,AA16,C6=12,AA17,C6=13,AA18,C6=14,AA19,C6=15,AA20,C6=16,AA21,C6=17,AA22,C6=18,AA23,C6=19,AA24,C6=20,AA25,C6=21,AA26,C6=22,AA27)</f>
        <v>17.50 - 22.00</v>
      </c>
      <c r="E6" s="52"/>
      <c r="F6" s="14">
        <v>1</v>
      </c>
      <c r="G6" s="80" t="str" cm="1">
        <f t="array" ref="G6">_xlfn.IFS(F6=1,AA6,F6=2,AA7,F6=3,AA8,F6=4,AA9,F6=5,AA10,F6=6,AA11,F6=7,AA12,F6=8,AA13,F6=9,AA14,F6=10,AA15,F6=11,AA16,F6=12,AA17,F6=13,AA18,F6=14,AA19,F6=15,AA20,F6=16,AA21,F6=17,AA22,F6=18,AA23,F6=19,AA24,F6=20,AA25,F6=21,AA26,F6=22,AA27)</f>
        <v>7.30 - 13.30</v>
      </c>
      <c r="H6" s="81"/>
      <c r="I6" s="14">
        <v>3</v>
      </c>
      <c r="J6" s="80" t="str" cm="1">
        <f t="array" ref="J6">_xlfn.IFS(I6=1,AA6,I6=2,AA7,I6=3,AA8,I6=4,AA9,I6=5,AA10,I6=6,AA11,I6=7,AA12,I6=8,AA13,I6=9,AA14,I6=10,AA15,I6=11,AA16,I6=12,AA17,I6=13,AA18,I6=14,AA19,I6=15,AA20,I6=16,AA21,I6=17,AA22,I6=18,AA23,I6=19,AA24,I6=20,AA25,I6=21,AA26,I6=22,AA27)</f>
        <v>14.00 - 20.00</v>
      </c>
      <c r="K6" s="81"/>
      <c r="L6" s="14">
        <v>1</v>
      </c>
      <c r="M6" s="80" t="str" cm="1">
        <f t="array" ref="M6">_xlfn.IFS(L6=1,AA6,L6=2,AA7,L6=3,AA8,L6=4,AA9,L6=5,AA10,L6=6,AA11,L6=7,AA12,L6=8,AA13,L6=9,AA14,L6=10,AA15,L6=11,AA16,L6=12,AA17,L6=13,AA18,L6=14,AA19,L6=15,AA20,L6=16,AA21,L6=17,AA22,L6=18,AA23,L6=19,AA24,L6=20,AA25,L6=21,AA26,L6=22,AA27)</f>
        <v>7.30 - 13.30</v>
      </c>
      <c r="N6" s="81"/>
      <c r="O6" s="14">
        <v>3</v>
      </c>
      <c r="P6" s="80" t="str" cm="1">
        <f t="array" ref="P6">_xlfn.IFS(O6=1,AA6,O6=2,AA7,O6=3,AA8,O6=4,AA9,O6=5,AA10,O6=6,AA11,O6=7,AA12,O6=8,AA13,O6=9,AA14,O6=10,AA15,O6=11,AA16,O6=12,AA17,O6=13,AA18,O6=14,AA19,O6=15,AA20,O6=16,AA21,O6=17,AA22,O6=18,AA23,O6=19,AA24,O6=20,AA25,O6=21,AA26,O6=22,AD27)</f>
        <v>14.00 - 20.00</v>
      </c>
      <c r="Q6" s="81"/>
      <c r="R6" s="14">
        <v>1</v>
      </c>
      <c r="S6" s="80" t="str" cm="1">
        <f t="array" ref="S6">_xlfn.IFS(R6=1,AA6,R6=2,AA7,R6=3,AA8,R6=4,AA9,R6=5,AA10,R6=6,AA11,R6=7,AA12,R6=8,AA13,R6=9,AA14,R6=10,AA15,R6=11,AA16,R6=12,AA17,R6=13,AA18,R6=14,AA19,R6=15,AA20,R6=16,AA21,R6=17,AA22,R6=18,AA23,R6=19,AA24,R6=20,AA25,R6=21,AA26,R6=22,AA27)</f>
        <v>7.30 - 13.30</v>
      </c>
      <c r="T6" s="81"/>
      <c r="U6" s="14">
        <v>14</v>
      </c>
      <c r="V6" s="88" t="str" cm="1">
        <f t="array" ref="V6">_xlfn.IFS(U6=1,AA6,U6=2,AA7,U6=3,AA8,U6=4,AA9,U6=5,AA10,U6=6,AA11,U6=7,AA12,U6=8,AA13,U6=9,AA14,U6=10,AA15,U6=11,AA16,U6=12,AA17,U6=13,AA18,U6=14,AA19,U6=15,AA20,U6=16,AA21,U6=17,AA22,U6=18,AA23,U6=19,AA24,U6=20,AA25,U6=21,AA26,U6=22,AA27)</f>
        <v>17.50 - 22.00</v>
      </c>
      <c r="W6" s="89"/>
      <c r="X6" s="29"/>
      <c r="Y6" s="29"/>
      <c r="Z6" s="24">
        <v>1</v>
      </c>
      <c r="AA6" s="108" t="s">
        <v>10</v>
      </c>
      <c r="AB6" s="108"/>
      <c r="AC6" s="41" t="s">
        <v>29</v>
      </c>
      <c r="AD6" s="42"/>
    </row>
    <row r="7" spans="1:38" ht="21.9" customHeight="1" thickBot="1" x14ac:dyDescent="0.35">
      <c r="A7" s="96"/>
      <c r="B7" s="94"/>
      <c r="C7" s="5">
        <v>0</v>
      </c>
      <c r="D7" s="51" t="str">
        <f>IF(C7=19,AA24,".")</f>
        <v>.</v>
      </c>
      <c r="E7" s="51"/>
      <c r="F7" s="5">
        <v>18</v>
      </c>
      <c r="G7" s="51" t="str">
        <f>IF(F7=19,AA24,".")</f>
        <v>.</v>
      </c>
      <c r="H7" s="51"/>
      <c r="I7" s="5">
        <v>0</v>
      </c>
      <c r="J7" s="51" t="str">
        <f>IF(I7=19,AA24,".")</f>
        <v>.</v>
      </c>
      <c r="K7" s="51"/>
      <c r="L7" s="5">
        <v>0</v>
      </c>
      <c r="M7" s="90" t="str">
        <f>IF(L7=19,AA24,".")</f>
        <v>.</v>
      </c>
      <c r="N7" s="91"/>
      <c r="O7" s="5">
        <v>0</v>
      </c>
      <c r="P7" s="51" t="str">
        <f>IF(O7=19,AA24,".")</f>
        <v>.</v>
      </c>
      <c r="Q7" s="51"/>
      <c r="R7" s="5">
        <v>0</v>
      </c>
      <c r="S7" s="51" t="str">
        <f>IF(R7=19,AA24,".")</f>
        <v>.</v>
      </c>
      <c r="T7" s="51"/>
      <c r="U7" s="6"/>
      <c r="V7" s="66"/>
      <c r="W7" s="67"/>
      <c r="Z7" s="24">
        <v>2</v>
      </c>
      <c r="AA7" s="108" t="s">
        <v>14</v>
      </c>
      <c r="AB7" s="108"/>
      <c r="AC7" s="43"/>
      <c r="AD7" s="44"/>
      <c r="AG7" s="30"/>
      <c r="AH7" s="30"/>
      <c r="AI7" s="30"/>
      <c r="AJ7" s="30"/>
      <c r="AK7" s="30"/>
      <c r="AL7" s="30"/>
    </row>
    <row r="8" spans="1:38" ht="21.9" customHeight="1" x14ac:dyDescent="0.3">
      <c r="A8" s="95">
        <v>2</v>
      </c>
      <c r="B8" s="93" t="s">
        <v>46</v>
      </c>
      <c r="C8" s="14">
        <v>2</v>
      </c>
      <c r="D8" s="52" t="str" cm="1">
        <f t="array" ref="D8">_xlfn.IFS(C8=1,AA6,C8=2,AA7,C8=3,AA8,C8=4,AA9,C8=5,AA10,C8=6,AA11,C8=7,AA12,C8=8,AA13,C8=9,AA14,C8=10,AA15,C8=11,AA16,C8=12,AA17,C8=13,AA18,C8=14,AA19,C8=15,AA20,C8=16,AA21,C8=17,AA22,C8=18,AA23,C8=19,AA24,C8=20,AA25,C8=21,AA26,C8=22,AA27)</f>
        <v>8.00 - 14.00</v>
      </c>
      <c r="E8" s="52"/>
      <c r="F8" s="14">
        <v>15</v>
      </c>
      <c r="G8" s="52" t="str" cm="1">
        <f t="array" ref="G8">_xlfn.IFS(F8=1,AA6,F8=2,AA7,F8=3,AA8,F8=4,AA9,F8=5,AA10,F8=6,AA11,F8=7,AA12,F8=8,AA13,F8=9,AA14,F8=10,AA15,F8=11,AA16,F8=12,AA17,F8=13,AA18,F8=14,AA19,F8=15,AA20,F8=16,AA21,F8=17,AA22,F8=18,AA23,F8=19,AA24,F8=20,AA25,F8=21,AA26,F8=22,AA27)</f>
        <v>RIPOSO</v>
      </c>
      <c r="H8" s="52"/>
      <c r="I8" s="14">
        <v>1</v>
      </c>
      <c r="J8" s="52" t="str" cm="1">
        <f t="array" ref="J8">_xlfn.IFS(I8=1,AA6,I8=2,AA7,I8=3,AA8,I8=4,AA9,I8=5,AA10,I8=6,AA11,I8=7,AA12,I8=8,AA13,I8=9,AA14,I8=10,AA15,I8=11,AA16,I8=12,AA17,I8=13,AA18,I8=14,AA19,I8=15,AA20,I8=16,AA21,I8=17,AA22,I8=18,AA23,I8=19,AA24,I8=20,AA25,I8=21,AA26,I8=22,AA27)</f>
        <v>7.30 - 13.30</v>
      </c>
      <c r="K8" s="52"/>
      <c r="L8" s="14">
        <v>8</v>
      </c>
      <c r="M8" s="52" t="str" cm="1">
        <f t="array" ref="M8">_xlfn.IFS(L8=1,AA6,L8=2,AA7,L8=3,AA8,L8=4,AA9,L8=5,AA10,L8=6,AA11,L8=7,AA12,L8=8,AA13,L8=9,AA14,L8=10,AA15,L8=11,AA16,L8=12,AA17,L8=13,AA18,L8=14,AA19,L8=15,AA20,L8=16,AA21,L8=17,AA22,L8=18,AA23,L8=19,AA24,L8=20,AA25,L8=21,AA26,L8=22,AA27)</f>
        <v>7.30- 11.40</v>
      </c>
      <c r="N8" s="52"/>
      <c r="O8" s="14">
        <v>1</v>
      </c>
      <c r="P8" s="52" t="str" cm="1">
        <f t="array" ref="P8">_xlfn.IFS(O8=1,AA6,O8=2,AA7,O8=3,AA8,O8=4,AA9,O8=5,AA10,O8=6,AA11,O8=7,AA12,O8=8,AA13,O8=9,AA14,O8=10,AA15,O8=11,AA16,O8=12,AA17,O8=13,AA18,O8=14,AA19,O8=15,AA20,O8=16,AA21,O8=17,AA22,O8=18,AA23,O8=19,AA24,O8=20,AA25,O8=21,AA26,O8=22,AD27)</f>
        <v>7.30 - 13.30</v>
      </c>
      <c r="Q8" s="52"/>
      <c r="R8" s="14">
        <v>3</v>
      </c>
      <c r="S8" s="52" t="str" cm="1">
        <f t="array" ref="S8">_xlfn.IFS(R8=1,AA6,R8=2,AA7,R8=3,AA8,R8=4,AA9,R8=5,AA10,R8=6,AA11,R8=7,AA12,R8=8,AA13,R8=9,AA14,R8=10,AA15,R8=11,AA16,R8=12,AA17,R8=13,AA18,R8=14,AA19,R8=15,AA20,R8=16,AA21,R8=17,AA22,R8=18,AA23,R8=19,AA24,R8=20,AA25,R8=21,AA26,R8=22,AA27)</f>
        <v>14.00 - 20.00</v>
      </c>
      <c r="T8" s="52"/>
      <c r="U8" s="14">
        <v>14</v>
      </c>
      <c r="V8" s="68" t="str" cm="1">
        <f t="array" ref="V8">_xlfn.IFS(U8=1,AA6,U8=2,AA7,U8=3,AA8,U8=4,AA9,U8=5,AA10,U8=6,AA11,U8=7,AA12,U8=8,AA13,U8=9,AA14,U8=10,AA15,U8=11,AA16,U8=12,AA17,U8=13,AA18,U8=14,AA19,U8=15,AA20,U8=16,AA21,U8=17,AA22,U8=18,AA23,U8=19,AA24,U8=20,AA25,U8=21,AA26,U8=22,AA27)</f>
        <v>17.50 - 22.00</v>
      </c>
      <c r="W8" s="69"/>
      <c r="Z8" s="24">
        <v>3</v>
      </c>
      <c r="AA8" s="108" t="s">
        <v>9</v>
      </c>
      <c r="AB8" s="108"/>
      <c r="AC8" s="45"/>
      <c r="AD8" s="46"/>
    </row>
    <row r="9" spans="1:38" ht="21.9" customHeight="1" thickBot="1" x14ac:dyDescent="0.35">
      <c r="A9" s="96"/>
      <c r="B9" s="94"/>
      <c r="C9" s="5">
        <v>19</v>
      </c>
      <c r="D9" s="51" t="str">
        <f>IF(C9=19,AA24,".")</f>
        <v>TRIBUNALE</v>
      </c>
      <c r="E9" s="51"/>
      <c r="F9" s="5">
        <v>0</v>
      </c>
      <c r="G9" s="51" t="str">
        <f>IF(F9=18,AA24,".")</f>
        <v>.</v>
      </c>
      <c r="H9" s="51"/>
      <c r="I9" s="5">
        <v>0</v>
      </c>
      <c r="J9" s="51" t="str">
        <f>IF(I9=18,AA24,".")</f>
        <v>.</v>
      </c>
      <c r="K9" s="51"/>
      <c r="L9" s="5">
        <v>0</v>
      </c>
      <c r="M9" s="51" t="str">
        <f>IF(L9=19,AA24,".")</f>
        <v>.</v>
      </c>
      <c r="N9" s="51"/>
      <c r="O9" s="5">
        <v>0</v>
      </c>
      <c r="P9" s="51" t="str">
        <f>IF(O9=19,AA24,".")</f>
        <v>.</v>
      </c>
      <c r="Q9" s="51"/>
      <c r="R9" s="5">
        <v>0</v>
      </c>
      <c r="S9" s="51" t="str">
        <f>IF(R9=19,AA24,".")</f>
        <v>.</v>
      </c>
      <c r="T9" s="51"/>
      <c r="U9" s="6"/>
      <c r="V9" s="66"/>
      <c r="W9" s="67"/>
      <c r="Z9" s="24">
        <v>4</v>
      </c>
      <c r="AA9" s="108" t="s">
        <v>27</v>
      </c>
      <c r="AB9" s="109"/>
      <c r="AC9" s="62" t="s">
        <v>24</v>
      </c>
      <c r="AD9" s="63"/>
    </row>
    <row r="10" spans="1:38" ht="21.9" customHeight="1" x14ac:dyDescent="0.3">
      <c r="A10" s="95">
        <v>3</v>
      </c>
      <c r="B10" s="93" t="s">
        <v>47</v>
      </c>
      <c r="C10" s="14">
        <v>14</v>
      </c>
      <c r="D10" s="52" t="str" cm="1">
        <f t="array" ref="D10">_xlfn.IFS(C10=1,AA6,C10=2,AA7,C10=3,AA8,C10=4,AA9,C10=5,AA10,C10=6,AA11,C10=7,AA12,C10=8,AA13,C10=9,AA14,C10=10,AA15,C10=11,AA16,C10=12,AA17,C10=13,AA18,C10=14,AA19,C10=15,AA20,C10=16,AA21,C10=17,AA22,C10=18,AA23,C10=19,AA24,C10=20,AA25,C10=21,AA26,C10=22,AA27)</f>
        <v>17.50 - 22.00</v>
      </c>
      <c r="E10" s="52"/>
      <c r="F10" s="14">
        <v>3</v>
      </c>
      <c r="G10" s="52" t="str" cm="1">
        <f t="array" ref="G10">_xlfn.IFS(F10=1,AA6,F10=2,AA7,F10=3,AA8,F10=4,AA9,F10=5,AA10,F10=6,AA11,F10=7,AA12,F10=8,AA13,F10=9,AA14,F10=10,AA15,F10=11,AA16,F10=12,AA17,F10=13,AA18,F10=14,AA19,F10=15,AA20,F10=16,AA21,F10=17,AA22,F10=18,AA23,F10=19,AA24,F10=20,AA25,F10=21,AA26,F10=22,AA27)</f>
        <v>14.00 - 20.00</v>
      </c>
      <c r="H10" s="52"/>
      <c r="I10" s="14">
        <v>1</v>
      </c>
      <c r="J10" s="52" t="str" cm="1">
        <f t="array" ref="J10">_xlfn.IFS(I10=1,AA6,I10=2,AA7,I10=3,AA8,I10=4,AA9,I10=5,AA10,I10=6,AA11,I10=7,AA12,I10=8,AA13,I10=9,AA14,I10=10,AA15,I10=11,AA16,I10=12,AA17,I10=13,AA18,I10=14,AA19,I10=15,AA20,I10=16,AA21,I10=17,AA22,I10=18,AA23,I10=19,AA24,I10=20,AA25,I10=21,AA26,I10=22,AA27)</f>
        <v>7.30 - 13.30</v>
      </c>
      <c r="K10" s="52"/>
      <c r="L10" s="14">
        <v>1</v>
      </c>
      <c r="M10" s="52" t="str" cm="1">
        <f t="array" ref="M10">_xlfn.IFS(L10=1,AA6,L10=2,AA7,L10=3,AA8,L10=4,AA9,L10=5,AA10,L10=6,AA11,L10=7,AA12,L10=8,AA13,L10=9,AA14,L10=10,AA15,L10=11,AA16,L10=12,AA17,L10=13,AA18,L10=14,AA19,L10=15,AA20,L10=16,AA21,L10=17,AA22,L10=18,AA23,L10=19,AA24,L10=20,AA25,L10=21,AA26,L10=22,AA27)</f>
        <v>7.30 - 13.30</v>
      </c>
      <c r="N10" s="52"/>
      <c r="O10" s="14">
        <v>1</v>
      </c>
      <c r="P10" s="52" t="str" cm="1">
        <f t="array" ref="P10">_xlfn.IFS(O10=1,AA6,O10=2,AA7,O10=3,AA8,O10=4,AA9,O10=5,AA10,O10=6,AA11,O10=7,AA12,O10=8,AA13,O10=9,AA14,O10=10,AA15,O10=11,AA16,O10=12,AA17,O10=13,AA18,O10=14,AA19,O10=15,AA20,O10=16,AA21,O10=17,AA22,O10=18,AA23,O10=19,AA24,O10=20,AA25,O10=21,AA26,O10=22,AA27)</f>
        <v>7.30 - 13.30</v>
      </c>
      <c r="Q10" s="52"/>
      <c r="R10" s="14">
        <v>1</v>
      </c>
      <c r="S10" s="52" t="str" cm="1">
        <f t="array" ref="S10">_xlfn.IFS(R10=1,AA6,R10=2,AA7,R10=3,AA8,R10=4,AA9,R10=5,AA10,R10=6,AA11,R10=7,AA12,R10=8,AA13,R10=9,AA14,R10=10,AA15,R10=11,AA16,R10=12,AA17,R10=13,AA18,R10=14,AA19,R10=15,AA20,R10=16,AA21,R10=17,AA22,R10=18,AA23,R10=19,AA24,R10=20,AA25,R10=21,AA26,R10=22,AA27)</f>
        <v>7.30 - 13.30</v>
      </c>
      <c r="T10" s="52"/>
      <c r="U10" s="14">
        <v>14</v>
      </c>
      <c r="V10" s="68" t="str" cm="1">
        <f t="array" ref="V10">_xlfn.IFS(U10=1,AA6,U10=2,AA7,U10=3,AA8,U10=4,AA9,U10=5,AA10,U10=6,AA11,U10=7,AA12,U10=8,AA13,U10=9,AA14,U10=10,AA15,U10=11,AA16,U10=12,AA17,U10=13,AA18,U10=14,AA19,U10=15,AA20,U10=16,AA21,U10=17,AA22,U10=18,AA23,U10=19,AA24,U10=20,AA25,U10=21,AA26,U10=22,AA27)</f>
        <v>17.50 - 22.00</v>
      </c>
      <c r="W10" s="69"/>
      <c r="Z10" s="24">
        <v>5</v>
      </c>
      <c r="AA10" s="108" t="s">
        <v>15</v>
      </c>
      <c r="AB10" s="109"/>
      <c r="AC10" s="64"/>
      <c r="AD10" s="65"/>
    </row>
    <row r="11" spans="1:38" ht="21.9" customHeight="1" thickBot="1" x14ac:dyDescent="0.35">
      <c r="A11" s="96"/>
      <c r="B11" s="97"/>
      <c r="C11" s="5">
        <v>0</v>
      </c>
      <c r="D11" s="51" t="str">
        <f>IF(C11=19,AA24,".")</f>
        <v>.</v>
      </c>
      <c r="E11" s="51"/>
      <c r="F11" s="5">
        <v>0</v>
      </c>
      <c r="G11" s="51" t="str">
        <f>IF(F11=19,AA24,".")</f>
        <v>.</v>
      </c>
      <c r="H11" s="51"/>
      <c r="I11" s="5">
        <v>0</v>
      </c>
      <c r="J11" s="51" t="str">
        <f>IF(I11=19,AA24,".")</f>
        <v>.</v>
      </c>
      <c r="K11" s="51"/>
      <c r="L11" s="5">
        <v>0</v>
      </c>
      <c r="M11" s="51" t="str">
        <f>IF(L11=19,AA24,".")</f>
        <v>.</v>
      </c>
      <c r="N11" s="51"/>
      <c r="O11" s="5">
        <v>0</v>
      </c>
      <c r="P11" s="51" t="str">
        <f>IF(O11=19,AA24,".")</f>
        <v>.</v>
      </c>
      <c r="Q11" s="51"/>
      <c r="R11" s="5">
        <v>0</v>
      </c>
      <c r="S11" s="51" t="str">
        <f>IF(R11=19,AA24,".")</f>
        <v>.</v>
      </c>
      <c r="T11" s="51"/>
      <c r="U11" s="6"/>
      <c r="V11" s="66"/>
      <c r="W11" s="67"/>
      <c r="Z11" s="24">
        <v>6</v>
      </c>
      <c r="AA11" s="110" t="s">
        <v>16</v>
      </c>
      <c r="AB11" s="110"/>
      <c r="AC11" s="58" t="s">
        <v>26</v>
      </c>
      <c r="AD11" s="59"/>
    </row>
    <row r="12" spans="1:38" ht="21.9" customHeight="1" x14ac:dyDescent="0.3">
      <c r="A12" s="95">
        <v>4</v>
      </c>
      <c r="B12" s="93" t="s">
        <v>48</v>
      </c>
      <c r="C12" s="14">
        <v>14</v>
      </c>
      <c r="D12" s="52" t="str" cm="1">
        <f t="array" ref="D12">_xlfn.IFS(C12=1,AA6,C12=2,AA7,C12=3,AA8,C12=4,AA9,C12=5,AA10,C12=6,AA11,C12=7,AA12,C12=8,AA13,C12=9,AA14,C12=10,AA15,C12=11,AA16,C12=12,AA17,C12=13,AA18,C12=14,AA19,C12=15,AA20,C12=16,AA21,C12=17,AA22,C12=18,AA23,C12=19,AA24,C12=20,AA25,C12=21,AA26,C12=22,AA27)</f>
        <v>17.50 - 22.00</v>
      </c>
      <c r="E12" s="52"/>
      <c r="F12" s="14">
        <v>1</v>
      </c>
      <c r="G12" s="52" t="str" cm="1">
        <f t="array" ref="G12">_xlfn.IFS(F12=1,AA6,F12=2,AA7,F12=3,AA8,F12=4,AA9,F12=5,AA10,F12=6,AA11,F12=7,AA12,F12=8,AA13,F12=9,AA14,F12=10,AA15,F12=11,AA16,F12=12,AA17,F12=13,AA18,F12=14,AA19,F12=15,AA20,F12=16,AA21,F12=17,AA22,F12=18,AA23,F12=19,AA24,F12=20,AA25,F12=21,AA26,F12=22,AA27)</f>
        <v>7.30 - 13.30</v>
      </c>
      <c r="H12" s="52"/>
      <c r="I12" s="14">
        <v>1</v>
      </c>
      <c r="J12" s="52" t="str" cm="1">
        <f t="array" ref="J12">_xlfn.IFS(I12=1,AA6,I12=2,AA7,I12=3,AA8,I12=4,AA9,I12=5,AA10,I12=6,AA11,I12=7,AA12,I12=8,AA13,I12=9,AA14,I12=10,AA15,I12=11,AA16,I12=12,AA17,I12=13,AA18,I12=14,AA19,I12=15,AA20,I12=16,AA21,I12=17,AA22,I12=18,AA23,I12=19,AA24,I12=20,AA25,I12=21,AA26,I12=22,AA27)</f>
        <v>7.30 - 13.30</v>
      </c>
      <c r="K12" s="52"/>
      <c r="L12" s="14">
        <v>3</v>
      </c>
      <c r="M12" s="52" t="str" cm="1">
        <f t="array" ref="M12">_xlfn.IFS(L12=1,AA6,L12=2,AA7,L12=3,AA8,L12=4,AA9,L12=5,AA10,L12=6,AA11,L12=7,AA12,L12=8,AA13,L12=9,AA14,L12=10,AA15,L12=11,AA16,L12=12,AA17,L12=13,AA18,L12=14,AA19,L12=15,AA20,L12=16,AA21,L12=17,AA22,L12=18,AA23,L12=19,AA24,L12=20,AA25,L12=21,AA26,L12=22,AA27)</f>
        <v>14.00 - 20.00</v>
      </c>
      <c r="N12" s="52"/>
      <c r="O12" s="14">
        <v>1</v>
      </c>
      <c r="P12" s="52" t="str" cm="1">
        <f t="array" ref="P12">_xlfn.IFS(O12=1,AA6,O12=2,AA7,O12=3,AA8,O12=4,AA9,O12=5,AA10,O12=6,AA11,O12=7,AA12,O12=8,AA13,O12=9,AA14,O12=10,AA15,O12=11,AA16,O12=12,AA17,O12=13,AA18,O12=14,AA19,O12=15,AA20,O12=16,AA21,O12=17,AA22,O12=18,AA23,O12=19,AA24,O12=20,AA25,O12=21,AA26,O12=22,AA27)</f>
        <v>7.30 - 13.30</v>
      </c>
      <c r="Q12" s="52"/>
      <c r="R12" s="14">
        <v>1</v>
      </c>
      <c r="S12" s="52" t="str" cm="1">
        <f t="array" ref="S12">_xlfn.IFS(R12=1,AA6,R12=2,AA7,R12=3,AA8,R12=4,AA9,R12=5,AA10,R12=6,AA11,R12=7,AA12,R12=8,AA13,R12=9,AA14,R12=10,AA15,R12=11,AA16,R12=12,AA17,R12=13,AA18,R12=14,AA19,R12=15,AA20,R12=16,AA21,R12=17,AA22,R12=18,AA23,R12=19,AA24,R12=20,AA25,R12=21,AAP26,R12=22,AA27)</f>
        <v>7.30 - 13.30</v>
      </c>
      <c r="T12" s="52"/>
      <c r="U12" s="14">
        <v>3</v>
      </c>
      <c r="V12" s="68" t="str" cm="1">
        <f t="array" ref="V12">_xlfn.IFS(U12=1,AA6,U12=2,AA7,U12=3,AA8,U12=4,AA9,U12=5,AA10,U12=6,AA11,U12=7,AA12,U12=8,AA13,U12=9,AA14,U12=10,AA15,U12=11,AA16,U12=12,AA17,U12=13,AA18,U12=14,AA19,U12=15,AA20,U12=16,AA21,U12=17,AA22,U12=18,AA23,U12=19,AA24,U12=20,AA25,U12=21,AA26,U12=22,AA27)</f>
        <v>14.00 - 20.00</v>
      </c>
      <c r="W12" s="69"/>
      <c r="Z12" s="24">
        <v>7</v>
      </c>
      <c r="AA12" s="110" t="s">
        <v>17</v>
      </c>
      <c r="AB12" s="110"/>
      <c r="AC12" s="60"/>
      <c r="AD12" s="61"/>
      <c r="AE12" s="15"/>
    </row>
    <row r="13" spans="1:38" ht="21.9" customHeight="1" thickBot="1" x14ac:dyDescent="0.35">
      <c r="A13" s="96"/>
      <c r="B13" s="94"/>
      <c r="C13" s="5">
        <v>0</v>
      </c>
      <c r="D13" s="51" t="str">
        <f>IF(C13=19,AA24,".")</f>
        <v>.</v>
      </c>
      <c r="E13" s="51"/>
      <c r="F13" s="5">
        <v>0</v>
      </c>
      <c r="G13" s="51" t="str">
        <f>IF(F13=19,AA24,".")</f>
        <v>.</v>
      </c>
      <c r="H13" s="51"/>
      <c r="I13" s="5">
        <v>0</v>
      </c>
      <c r="J13" s="51" t="str">
        <f>IF(I13=19,AA24,".")</f>
        <v>.</v>
      </c>
      <c r="K13" s="51"/>
      <c r="L13" s="5">
        <v>0</v>
      </c>
      <c r="M13" s="51" t="str">
        <f>IF(L13=19,AA24,".")</f>
        <v>.</v>
      </c>
      <c r="N13" s="51"/>
      <c r="O13" s="5">
        <v>0</v>
      </c>
      <c r="P13" s="51" t="str">
        <f>IF(O13=19,AA24,".")</f>
        <v>.</v>
      </c>
      <c r="Q13" s="51"/>
      <c r="R13" s="5">
        <v>0</v>
      </c>
      <c r="S13" s="51" t="str">
        <f>IF(R13=19,AA24,".")</f>
        <v>.</v>
      </c>
      <c r="T13" s="51"/>
      <c r="U13" s="6"/>
      <c r="V13" s="66"/>
      <c r="W13" s="67"/>
      <c r="Z13" s="24">
        <v>8</v>
      </c>
      <c r="AA13" s="111" t="s">
        <v>22</v>
      </c>
      <c r="AB13" s="112"/>
      <c r="AC13" s="74" t="s">
        <v>28</v>
      </c>
      <c r="AD13" s="75"/>
    </row>
    <row r="14" spans="1:38" ht="21.9" customHeight="1" x14ac:dyDescent="0.3">
      <c r="A14" s="95">
        <v>5</v>
      </c>
      <c r="B14" s="93" t="s">
        <v>49</v>
      </c>
      <c r="C14" s="14">
        <v>14</v>
      </c>
      <c r="D14" s="52" t="str" cm="1">
        <f t="array" ref="D14">_xlfn.IFS(C14=1,AA6,C14=2,AA7,C14=3,AA8,C14=4,AA9,C14=5,AA10,C14=6,AA11,C14=7,AA12,C14=8,AA13,C14=9,AA14,C14=10,AA15,C14=11,AA16,C14=12,AA17,C14=13,AA18,C14=14,AA19,C14=15,AA20,C14=16,AA21,C14=17,AA22,C14=18,AA23,C14=19,AA24,C14=20,AA25,C14=21,AA26,C14=22,AA27)</f>
        <v>17.50 - 22.00</v>
      </c>
      <c r="E14" s="52"/>
      <c r="F14" s="14">
        <v>6</v>
      </c>
      <c r="G14" s="52" t="str" cm="1">
        <f t="array" ref="G14">_xlfn.IFS(F14=1,AA6,F14=2,AA7,F14=3,AA8,F14=4,AA9,F14=5,AA10,F14=6,AA11,F14=7,AA12,F14=8,AA13,F14=9,AA14,F14=10,AA15,F14=11,AA16,F14=12,AA17,F14=13,AA18,F14=14,AA19,F14=15,AA20,F14=16,AA21,F14=17,AA22,F14=18,AA23,F14=19,AA24,F14=20,AA25,F14=21,AA26,F14=22,AA27)</f>
        <v>8.00 - 14.30</v>
      </c>
      <c r="H14" s="52"/>
      <c r="I14" s="14">
        <v>6</v>
      </c>
      <c r="J14" s="52" t="str" cm="1">
        <f t="array" ref="J14">_xlfn.IFS(I14=1,AA6,I14=2,AA7,I14=3,AA8,I14=4,AA9,I14=5,AA10,I14=6,AA11,I14=7,AA12,I14=8,AA13,I14=9,AA14,I14=10,AA15,I14=11,AA16,I14=12,AA17,I14=13,AA18,I14=14,AA19,I14=15,AA20,I14=16,AA21,I14=17,AA22,I14=18,AA23,I14=19,AA24,I14=20,AA25,I14=21,AA26,I14=22,AA27)</f>
        <v>8.00 - 14.30</v>
      </c>
      <c r="K14" s="52"/>
      <c r="L14" s="14">
        <v>6</v>
      </c>
      <c r="M14" s="52" t="str" cm="1">
        <f t="array" ref="M14">_xlfn.IFS(L14=1,AA6,L14=2,AA7,L14=3,AA8,L14=4,AA9,L14=5,AA10,L14=6,AA11,L14=7,AA12,L14=8,AA13,L14=9,AA14,L14=10,AA15,L14=11,AA16,L14=12,AA17,L14=13,AA18,L14=14,AA19,L14=15,AA20,L14=16,AA21,L14=17,AA22,L14=18,AA23,L14=19,AA24,L14=20,AA25,L14=21,AA26,L14=22,AA27)</f>
        <v>8.00 - 14.30</v>
      </c>
      <c r="N14" s="52"/>
      <c r="O14" s="14">
        <v>6</v>
      </c>
      <c r="P14" s="52" t="str" cm="1">
        <f t="array" ref="P14">_xlfn.IFS(O14=1,AA6,O14=2,AA7,O14=3,AA8,O14=4,AA9,O14=5,AA10,O14=6,AA11,O14=7,AA12,O14=8,AA13,O14=9,AA14,O14=10,AA15,O14=11,AA16,O14=12,AA17,O14=13,AA18,O14=14,AA19,O14=15,AA20,O14=16,AA21,O14=17,AA22,O14=18,AA23,O14=19,AA24,O14=20,AA25,O14=21,AA26,O14=22,AA27)</f>
        <v>8.00 - 14.30</v>
      </c>
      <c r="Q14" s="52"/>
      <c r="R14" s="14">
        <v>15</v>
      </c>
      <c r="S14" s="52" t="str" cm="1">
        <f t="array" ref="S14">_xlfn.IFS(R14=1,AA6,R14=2,AA7,R14=3,AA8,R14=4,AA9,R14=5,AA10,R14=6,AA11,R14=7,AA12,R14=8,AA13,R14=9,AA14,R14=10,AA15,R14=11,AA16,R14=12,AA17,R14=13,AA18,R14=14,AA19,R14=15,AA20,R14=16,AA21,R14=17,AA22,R14=18,AA23,R14=19,AA24,R14=20,AA25,R14=21,AA26,R14=22,AA27)</f>
        <v>RIPOSO</v>
      </c>
      <c r="T14" s="52"/>
      <c r="U14" s="14">
        <v>15</v>
      </c>
      <c r="V14" s="68" t="str" cm="1">
        <f t="array" ref="V14">_xlfn.IFS(U14=1,AA6,U14=2,AA7,U14=3,AA8,U14=4,AA9,U14=5,AA10,U14=6,AA11,U14=7,AA12,U14=8,AA13,U14=9,AA14,U14=10,AA15,U14=11,AA16,U14=12,AA17,U14=13,AA18,U14=14,AA19,U14=15,AA20,U14=16,AA21,U14=17,AA22,U14=18,AA23,U14=19,AA24,U14=20,AA25,U14=21,AA26,U14=22,AA27)</f>
        <v>RIPOSO</v>
      </c>
      <c r="W14" s="69"/>
      <c r="Z14" s="24">
        <v>9</v>
      </c>
      <c r="AA14" s="102" t="s">
        <v>34</v>
      </c>
      <c r="AB14" s="103"/>
      <c r="AC14" s="76"/>
      <c r="AD14" s="77"/>
    </row>
    <row r="15" spans="1:38" ht="21.9" customHeight="1" thickBot="1" x14ac:dyDescent="0.35">
      <c r="A15" s="96"/>
      <c r="B15" s="94"/>
      <c r="C15" s="5">
        <v>7</v>
      </c>
      <c r="D15" s="92" t="str" cm="1">
        <f t="array" ref="D15">_xlfn.IFS(C15=7,AA12,C15=19,AA24,C15&lt;6,AA28,C15&gt;7,AA28)</f>
        <v>15.30 - 19.30</v>
      </c>
      <c r="E15" s="92"/>
      <c r="F15" s="6"/>
      <c r="G15" s="51" t="str">
        <f>IF(F15=19,AA24,".")</f>
        <v>.</v>
      </c>
      <c r="H15" s="51"/>
      <c r="I15" s="6"/>
      <c r="J15" s="51" t="str">
        <f>IF(I15=19,AA24,".")</f>
        <v>.</v>
      </c>
      <c r="K15" s="51"/>
      <c r="L15" s="6"/>
      <c r="M15" s="51" t="str">
        <f>IF(L15=19,AA24,".")</f>
        <v>.</v>
      </c>
      <c r="N15" s="51"/>
      <c r="O15" s="6"/>
      <c r="P15" s="51" t="str">
        <f>IF(O15=19,AA24,".")</f>
        <v>.</v>
      </c>
      <c r="Q15" s="51"/>
      <c r="R15" s="6"/>
      <c r="S15" s="51" t="str">
        <f>IF(R15=19,AA24,".")</f>
        <v>.</v>
      </c>
      <c r="T15" s="51"/>
      <c r="U15" s="6"/>
      <c r="V15" s="66"/>
      <c r="W15" s="67"/>
      <c r="Z15" s="24">
        <v>10</v>
      </c>
      <c r="AA15" s="102" t="s">
        <v>36</v>
      </c>
      <c r="AB15" s="103"/>
      <c r="AC15" s="76"/>
      <c r="AD15" s="77"/>
    </row>
    <row r="16" spans="1:38" ht="21.9" customHeight="1" x14ac:dyDescent="0.3">
      <c r="A16" s="95">
        <v>6</v>
      </c>
      <c r="B16" s="93" t="s">
        <v>50</v>
      </c>
      <c r="C16" s="14">
        <v>14</v>
      </c>
      <c r="D16" s="52" t="str" cm="1">
        <f t="array" ref="D16">_xlfn.IFS(C16=1,AA6,C16=2,AA7,C16=3,AA8,C16=4,AA9,C16=5,AA10,C16=6,AA11,C16=7,AA12,C16=8,AA13,C16=9,AA14,C16=10,AA15,C16=11,AA16,C16=12,AA17,C16=13,AA18,C16=14,AA19,C16=15,AA20,C16=16,AA21,C16=17,AA22,C16=18,AA23,C16=19,AA24,C16=20,AA25,C16=21,AA26,C16=22,AA27)</f>
        <v>17.50 - 22.00</v>
      </c>
      <c r="E16" s="52"/>
      <c r="F16" s="14">
        <v>17</v>
      </c>
      <c r="G16" s="52" t="str" cm="1">
        <f t="array" ref="G16">_xlfn.IFS(F16=1,AA6,F16=2,AA7,F16=3,AA8,F16=4,AA9,F16=5,AA10,F16=6,AA11,F16=7,AA12,F16=8,AA13,F16=9,AA14,F16=10,AA15,F16=11,AA16,F16=12,AA17,F16=13,AA18,F16=14,AA19,F16=15,AA20,F16=16,AA21,F16=17,AA22,F16=18,AA23,F16=19,AA24,F16=20,AA25,F16=21,AA26,F16=22,AA27)</f>
        <v>Congedo gg. 00</v>
      </c>
      <c r="H16" s="52"/>
      <c r="I16" s="14">
        <v>17</v>
      </c>
      <c r="J16" s="52" t="str" cm="1">
        <f t="array" ref="J16">_xlfn.IFS(I16=1,AA6,I16=2,AA7,I16=3,AA8,I16=4,AA9,I16=5,AA10,I16=6,AA11,I16=7,AA12,I16=8,AA13,I16=9,AA14,I16=10,AA15,I16=11,AA16,I16=12,AA17,I16=13,AA18,I16=14,AA19,I16=15,AA20,I16=16,AA21,I16=17,AA22,I16=18,AA23,I16=19,AA24,I16=20,AA25,I16=21,AA26,I16=22,AA27)</f>
        <v>Congedo gg. 00</v>
      </c>
      <c r="K16" s="52"/>
      <c r="L16" s="14">
        <v>17</v>
      </c>
      <c r="M16" s="52" t="str" cm="1">
        <f t="array" ref="M16">_xlfn.IFS(L16=1,AA6,L16=2,AA7,L16=3,AA8,L16=4,AA9,L16=5,AA10,L16=6,AA11,L16=7,AA12,L16=8,AA13,L16=9,AA14,L16=10,AA15,L16=11,AA16,L16=12,AA17,L16=13,AA18,L16=14,AA19,L16=15,AA20,L16=16,AA21,L16=17,AA22,L16=18,AA23,L16=19,AA24,L16=20,AA25,L16=21,AA26,L16=22,AA27)</f>
        <v>Congedo gg. 00</v>
      </c>
      <c r="N16" s="52"/>
      <c r="O16" s="14">
        <v>17</v>
      </c>
      <c r="P16" s="52" t="str" cm="1">
        <f t="array" ref="P16">_xlfn.IFS(O16=1,AA6,O16=2,AA7,O16=3,AA8,O16=4,AA9,O16=5,AA10,O16=6,AA11,O16=7,AA12,O16=8,AA13,O16=9,AA14,O16=10,AA15,O16=11,AA16,O16=12,AA17,O16=13,AA18,O16=14,AA19,O16=15,AA20,O16=16,AA21,O16=17,AA22,O16=18,AA23,O16=19,AA24,O16=20,AA25,O16=21,AA26,O16=22,AA27)</f>
        <v>Congedo gg. 00</v>
      </c>
      <c r="Q16" s="52"/>
      <c r="R16" s="14">
        <v>17</v>
      </c>
      <c r="S16" s="52" t="str" cm="1">
        <f t="array" ref="S16">_xlfn.IFS(R16=1,AA6,R16=2,AA7,R16=3,AA8,R16=4,AA9,R16=5,AA10,R16=6,AA11,R16=7,AA12,R16=8,AA13,R16=9,AA14,R16=10,AA15,R16=11,AA16,R16=12,AA17,R16=13,AA18,R16=14,AA19,R16=15,AA20,R16=16,AA21,R16=17,AA22,R16=18,AA23,R16=19,AA24,R16=20,AA25,R16=21,AA26,R16=22,AA27)</f>
        <v>Congedo gg. 00</v>
      </c>
      <c r="T16" s="52"/>
      <c r="U16" s="14">
        <v>14</v>
      </c>
      <c r="V16" s="68" t="str" cm="1">
        <f t="array" ref="V16">_xlfn.IFS(U16=1,AA6,U16=2,AA7,U16=3,AA8,U16=4,AA9,U16=5,AA10,U16=6,AA11,U16=7,AA12,U16=8,AA13,U16=9,AA14,U16=10,AA15,U16=11,AA16,U16=12,AA17,U16=13,AA18,U16=14,AA19,U16=15,AA20,U16=16,AA21,U16=17,AA22,U16=18,AA23,U16=19,AA24,U16=20,AA25,U16=21,AA26,U16=22,AA27)</f>
        <v>17.50 - 22.00</v>
      </c>
      <c r="W16" s="69"/>
      <c r="Z16" s="24">
        <v>11</v>
      </c>
      <c r="AA16" s="102" t="s">
        <v>37</v>
      </c>
      <c r="AB16" s="103"/>
      <c r="AC16" s="76"/>
      <c r="AD16" s="77"/>
    </row>
    <row r="17" spans="1:30" ht="21.9" customHeight="1" thickBot="1" x14ac:dyDescent="0.35">
      <c r="A17" s="96"/>
      <c r="B17" s="94"/>
      <c r="C17" s="6">
        <v>5</v>
      </c>
      <c r="D17" s="92" t="str" cm="1">
        <f t="array" ref="D17">_xlfn.IFS(C17=7,AA12,C17=19,AA24,C17&lt;6,AA28,C17&gt;7,AA28)</f>
        <v>.</v>
      </c>
      <c r="E17" s="92"/>
      <c r="F17" s="6"/>
      <c r="G17" s="51"/>
      <c r="H17" s="51"/>
      <c r="I17" s="6"/>
      <c r="J17" s="51"/>
      <c r="K17" s="51"/>
      <c r="L17" s="6"/>
      <c r="M17" s="51"/>
      <c r="N17" s="51"/>
      <c r="O17" s="6"/>
      <c r="P17" s="51"/>
      <c r="Q17" s="51"/>
      <c r="R17" s="6"/>
      <c r="S17" s="51"/>
      <c r="T17" s="51"/>
      <c r="U17" s="6"/>
      <c r="V17" s="66"/>
      <c r="W17" s="67"/>
      <c r="Z17" s="24">
        <v>12</v>
      </c>
      <c r="AA17" s="102" t="s">
        <v>38</v>
      </c>
      <c r="AB17" s="103"/>
      <c r="AC17" s="78"/>
      <c r="AD17" s="79"/>
    </row>
    <row r="18" spans="1:30" ht="21.9" customHeight="1" x14ac:dyDescent="0.3">
      <c r="A18" s="95">
        <v>7</v>
      </c>
      <c r="B18" s="93" t="s">
        <v>51</v>
      </c>
      <c r="C18" s="14">
        <v>14</v>
      </c>
      <c r="D18" s="52" t="str" cm="1">
        <f t="array" ref="D18">_xlfn.IFS(C18=1,AA6,C18=2,AA7,C18=3,AA8,C18=4,AA9,C18=5,AA10,C18=6,AA11,C18=7,AA12,C18=8,AA13,C18=9,AA14,C18=10,AA15,C18=11,AA16,C18=12,AA17,C18=13,AA18,C18=14,AA19,C18=15,AA20,C18=16,AA21,C18=17,AA22,C18=18,AA23,C18=19,AA24,C18=20,AA25,C18=21,AA26,C18=22,AA27)</f>
        <v>17.50 - 22.00</v>
      </c>
      <c r="E18" s="52"/>
      <c r="F18" s="14">
        <v>11</v>
      </c>
      <c r="G18" s="52" t="str" cm="1">
        <f t="array" ref="G18">_xlfn.IFS(F18=1,AA6,F18=2,AA7,F18=3,AA8,F18=4,AA9,F18=5,AA10,F18=6,AA11,F18=7,AA12,F18=8,AA13,F18=9,AA14,F18=10,AA15,F18=11,AA16,F18=12,AA17,F18=13,AA18,F18=14,AA19,F18=15,AA20,F18=16,AA21,F18=17,AA22,F18=18,AA23,F18=19,AA24,F18=20,AA25,F18=21,AA26,F18=22,AA27)</f>
        <v>14.50 - 19.00</v>
      </c>
      <c r="H18" s="52"/>
      <c r="I18" s="14">
        <v>8</v>
      </c>
      <c r="J18" s="52" t="str" cm="1">
        <f t="array" ref="J18">_xlfn.IFS(I18=1,AA6,I18=2,AA7,I18=3,AA8,I18=4,AA9,I18=5,AA10,I18=6,AA11,I18=7,AA12,I18=8,AA13,I18=9,AA14,I18=10,AA15,I18=11,AA16,I18=12,AA17,I18=13,AA18,I18=14,AA19,I18=15,AA20,I18=16,AA21,I18=17,AA22,I18=18,AA23,I18=19,AA24,I18=20,AA25,I18=21,AA26,I18=22,AA27)</f>
        <v>7.30- 11.40</v>
      </c>
      <c r="K18" s="52"/>
      <c r="L18" s="14">
        <v>8</v>
      </c>
      <c r="M18" s="52" t="str" cm="1">
        <f t="array" ref="M18">_xlfn.IFS(L18=1,AA6,L18=2,AA7,L18=3,AA8,L18=4,AA9,L18=5,AA10,L18=6,AA11,L18=7,AA12,L18=8,AA13,L18=9,AA14,L18=10,AA15,L18=11,AA16,L18=12,AA17,L18=13,AA18,L18=14,AA19,L18=15,AA20,L18=16,AA21,L18=17,AA22,L18=18,AA23,L18=19,AA24,L18=20,AA25,L18=21,AA26,L18=22,AA27)</f>
        <v>7.30- 11.40</v>
      </c>
      <c r="N18" s="52"/>
      <c r="O18" s="14">
        <v>10</v>
      </c>
      <c r="P18" s="52" t="str" cm="1">
        <f t="array" ref="P18">_xlfn.IFS(O18=1,AA6,O18=2,AA7,O18=3,AA8,O18=4,AA9,O18=5,AA10,O18=6,AA11,O18=7,AA12,O18=8,AA13,O18=9,AA14,O18=10,AA15,O18=11,AA16,O18=12,AA17,O18=13,AA18,O18=14,AA19,O18=15,AA20,O18=16,AA21,O18=17,AA22,O18=18,AA23,O18=19,AA24,O18=20,AA25,O18=21,AA26,O18=22,AA27)</f>
        <v>8.50 - 13.00</v>
      </c>
      <c r="Q18" s="52"/>
      <c r="R18" s="14">
        <v>11</v>
      </c>
      <c r="S18" s="52" t="str" cm="1">
        <f t="array" ref="S18">_xlfn.IFS(R18=1,AA6,R18=2,AA7,R18=3,AA8,R18=4,AA9,R18=5,AA10,R18=6,AA11,R18=7,AA12,R18=8,AA13,R18=9,AA14,R18=10,AA15,R18=11,AA16,R18=12,AA17,R18=13,AA18,R18=14,AA19,R18=15,AA20,R18=16,AA21,R18=17,AA22,R18=18,AA23,R18=19,AA24,R18=20,AA25,R18=21,AA26,R18=22,AA27)</f>
        <v>14.50 - 19.00</v>
      </c>
      <c r="T18" s="52"/>
      <c r="U18" s="14">
        <v>12</v>
      </c>
      <c r="V18" s="68" t="str" cm="1">
        <f t="array" ref="V18">_xlfn.IFS(U18=1,AA6,U18=2,AA7,U18=3,AA8,U18=4,AA9,U18=5,AA10,U18=6,AA11,U18=7,AA12,U18=8,AA13,U18=9,AA14,U18=10,AA15,U18=11,AA16,U18=12,AA17,U18=13,AA18,U18=14,AA19,U18=15,AA20,U18=16,AA21,U18=17,AA22,U18=18,AA23,U18=19,AA24,U18=20,AA25,U18=21,AA26,U18=22,AA27)</f>
        <v>15.50 - 20.00</v>
      </c>
      <c r="W18" s="69"/>
      <c r="Z18" s="24">
        <v>13</v>
      </c>
      <c r="AA18" s="102" t="s">
        <v>39</v>
      </c>
      <c r="AB18" s="103"/>
      <c r="AC18" s="70" t="s">
        <v>35</v>
      </c>
      <c r="AD18" s="71"/>
    </row>
    <row r="19" spans="1:30" ht="21.9" customHeight="1" thickBot="1" x14ac:dyDescent="0.35">
      <c r="A19" s="96"/>
      <c r="B19" s="94"/>
      <c r="C19" s="6"/>
      <c r="D19" s="51"/>
      <c r="E19" s="51"/>
      <c r="F19" s="6"/>
      <c r="G19" s="51"/>
      <c r="H19" s="51"/>
      <c r="I19" s="6"/>
      <c r="J19" s="51"/>
      <c r="K19" s="51"/>
      <c r="L19" s="6"/>
      <c r="M19" s="51"/>
      <c r="N19" s="51"/>
      <c r="O19" s="6"/>
      <c r="P19" s="51"/>
      <c r="Q19" s="51"/>
      <c r="R19" s="6"/>
      <c r="S19" s="51"/>
      <c r="T19" s="51"/>
      <c r="U19" s="6"/>
      <c r="V19" s="66"/>
      <c r="W19" s="67"/>
      <c r="Z19" s="24">
        <v>14</v>
      </c>
      <c r="AA19" s="102" t="s">
        <v>40</v>
      </c>
      <c r="AB19" s="103"/>
      <c r="AC19" s="72"/>
      <c r="AD19" s="73"/>
    </row>
    <row r="20" spans="1:30" ht="21.9" customHeight="1" x14ac:dyDescent="0.3">
      <c r="A20" s="95">
        <v>8</v>
      </c>
      <c r="B20" s="93" t="s">
        <v>52</v>
      </c>
      <c r="C20" s="14">
        <v>14</v>
      </c>
      <c r="D20" s="52" t="str" cm="1">
        <f t="array" ref="D20">_xlfn.IFS(C20=1,AA6,C20=2,AA7,C20=3,AA8,C20=4,AA9,C20=5,AA10,C20=6,AA11,C20=7,AA12,C20=8,AA13,C20=9,AA14,C20=10,AA15,C20=11,AA16,C20=12,AA17,C20=13,AA18,C20=14,AA19,C20=15,AA20,C20=16,AA21,C20=17,AA22,C20=18,AA23,C20=19,AA24,C20=20,AA25,C20=21,AA26,C20=22,AA27)</f>
        <v>17.50 - 22.00</v>
      </c>
      <c r="E20" s="52"/>
      <c r="F20" s="14">
        <v>8</v>
      </c>
      <c r="G20" s="52" t="str" cm="1">
        <f t="array" ref="G20">_xlfn.IFS(F20=1,AA6,F20=2,AA7,F20=3,AA8,F20=4,AA9,F20=5,AA10,F20=6,AA11,F20=7,AA12,F20=8,AA13,F20=9,AA14,F20=10,AA15,F20=11,AA16,F20=12,AA17,F20=13,AA18,F20=14,AA19,F20=15,AA20,F20=16,AA21,F20=17,AA22,F20=18,AA23,F20=19,AA24,F20=20,AA25,F20=21,AA26,F20=22,AA27)</f>
        <v>7.30- 11.40</v>
      </c>
      <c r="H20" s="52"/>
      <c r="I20" s="14">
        <v>11</v>
      </c>
      <c r="J20" s="52" t="str" cm="1">
        <f t="array" ref="J20">_xlfn.IFS(I20=1,AA6,I20=2,AA7,I20=3,AA8,I20=4,AA9,I20=5,AA10,I20=6,AA11,I20=7,AA12,I20=8,AA13,I20=9,AA14,I20=10,AA15,I20=11,AA16,I20=12,AA17,I20=13,AA18,I20=14,AA19,I20=15,AA20,I20=16,AA21,I20=17,AA22,I20=18,AA23,I20=19,AA24,I20=20,AA25,I20=21,AA26,I20=22,AA27)</f>
        <v>14.50 - 19.00</v>
      </c>
      <c r="K20" s="52"/>
      <c r="L20" s="14">
        <v>11</v>
      </c>
      <c r="M20" s="52" t="str" cm="1">
        <f t="array" ref="M20">_xlfn.IFS(L20=1,AA6,L20=2,AA7,L20=3,AA8,L20=4,AA9,L20=5,AA10,L20=6,AA11,L20=7,AA12,L20=8,AA13,L20=9,AA14,L20=10,AA15,L20=11,AA16,L20=12,AA17,L20=13,AA18,L20=14,AA19,L20=15,AA20,L20=16,AA21,L20=17,AA22,L20=18,AA23,L20=19,AA24,L20=20,AA25,L20=21,AA26,L20=22,AA27)</f>
        <v>14.50 - 19.00</v>
      </c>
      <c r="N20" s="52"/>
      <c r="O20" s="14">
        <v>15</v>
      </c>
      <c r="P20" s="52" t="str" cm="1">
        <f t="array" ref="P20">_xlfn.IFS(O20=1,AA6,O20=2,AA7,O20=3,AA8,O20=4,AA9,O20=5,AA10,O20=6,AA11,O20=7,AA12,O20=8,AA13,O20=9,AA14,O20=10,AA15,O20=11,AA16,O20=12,AA17,O20=13,AA18,O20=14,AA19,O20=15,AA20,O20=16,AA21,O20=17,AA22,O20=18,AA23,O20=19,AA24,O20=20,AA25,O20=21,AA26,O20=22,AA27)</f>
        <v>RIPOSO</v>
      </c>
      <c r="Q20" s="52"/>
      <c r="R20" s="14">
        <v>11</v>
      </c>
      <c r="S20" s="52" t="str" cm="1">
        <f t="array" ref="S20">_xlfn.IFS(R20=1,AA6,R20=2,AA7,R20=3,AA8,R20=4,AA9,R20=5,AA10,R20=6,AA11,R20=7,AA12,R20=8,AA13,R20=9,AA14,R20=10,AA15,R20=11,AA16,R20=12,AA17,R20=13,AA18,R20=14,AA19,R20=15,AA20,R20=16,AA21,R20=17,AA22,R20=18,AA23,R20=19,AA24,R20=20,AA25,R20=21,AA26,R20=22,AA27)</f>
        <v>14.50 - 19.00</v>
      </c>
      <c r="T20" s="52"/>
      <c r="U20" s="14">
        <v>12</v>
      </c>
      <c r="V20" s="68" t="str" cm="1">
        <f t="array" ref="V20">_xlfn.IFS(U20=1,AA6,U20=2,AA7,U20=3,AA8,U20=4,AA9,U20=5,AA10,U20=6,AA11,U20=7,AA12,U20=8,AA13,U20=9,AA14,U20=10,AA15,U20=11,AA16,U20=12,AA17,U20=13,AA18,U20=14,AA19,U20=15,AA20,U20=16,AA21,U20=17,AA22,U20=18,AA23,U20=19,AA24,U20=20,AA25,U20=21,AA26,U20=22,AA27)</f>
        <v>15.50 - 20.00</v>
      </c>
      <c r="W20" s="69"/>
      <c r="Z20" s="24">
        <v>15</v>
      </c>
      <c r="AA20" s="104" t="s">
        <v>18</v>
      </c>
      <c r="AB20" s="105"/>
      <c r="AC20" s="47"/>
      <c r="AD20" s="48"/>
    </row>
    <row r="21" spans="1:30" ht="21.9" customHeight="1" thickBot="1" x14ac:dyDescent="0.35">
      <c r="A21" s="96"/>
      <c r="B21" s="94"/>
      <c r="C21" s="6"/>
      <c r="D21" s="51"/>
      <c r="E21" s="51"/>
      <c r="F21" s="6"/>
      <c r="G21" s="51"/>
      <c r="H21" s="51"/>
      <c r="I21" s="6"/>
      <c r="J21" s="51"/>
      <c r="K21" s="51"/>
      <c r="L21" s="6"/>
      <c r="M21" s="51"/>
      <c r="N21" s="51"/>
      <c r="O21" s="6"/>
      <c r="P21" s="51"/>
      <c r="Q21" s="51"/>
      <c r="R21" s="6"/>
      <c r="S21" s="51"/>
      <c r="T21" s="51"/>
      <c r="U21" s="6"/>
      <c r="V21" s="66"/>
      <c r="W21" s="67"/>
      <c r="Z21" s="24">
        <v>16</v>
      </c>
      <c r="AA21" s="106" t="s">
        <v>33</v>
      </c>
      <c r="AB21" s="107"/>
      <c r="AC21" s="47"/>
      <c r="AD21" s="48"/>
    </row>
    <row r="22" spans="1:30" ht="21.9" customHeight="1" x14ac:dyDescent="0.3">
      <c r="A22" s="95">
        <v>9</v>
      </c>
      <c r="B22" s="93" t="s">
        <v>53</v>
      </c>
      <c r="C22" s="14">
        <v>14</v>
      </c>
      <c r="D22" s="52" t="str" cm="1">
        <f t="array" ref="D22">_xlfn.IFS(C22=1,AA6,C22=2,AA7,C22=3,AA8,C22=4,AA9,C22=5,AA10,C22=6,AA11,C22=7,AA12,C22=8,AA13,C22=9,AA14,C22=10,AA15,C22=11,AA16,C22=12,AA17,C22=13,AA18,C22=14,AA19,C22=15,AA20,C22=16,AA21,C22=17,AA22,C22=18,AA23,C22=19,AA24,C22=20,AA25,C22=21,AA26,C22=22,AA27)</f>
        <v>17.50 - 22.00</v>
      </c>
      <c r="E22" s="52"/>
      <c r="F22" s="14">
        <v>12</v>
      </c>
      <c r="G22" s="52" t="str" cm="1">
        <f t="array" ref="G22">_xlfn.IFS(F22=1,AA6,F22=2,AA7,F22=3,AA8,F22=4,AA9,F22=5,AA10,F22=6,AA11,F22=7,AA12,F22=8,AA13,F22=9,AA14,F22=10,AA15,F22=11,AA16,F22=12,AA17,F22=13,AA18,F22=14,AA19,F22=15,AA20,F22=16,AA21,F22=17,AA22,F22=18,AA23,F22=19,AA24,F22=20,AA25,F22=21,AA26,F22=22,AA27)</f>
        <v>15.50 - 20.00</v>
      </c>
      <c r="H22" s="52"/>
      <c r="I22" s="14">
        <v>12</v>
      </c>
      <c r="J22" s="52" t="str" cm="1">
        <f t="array" ref="J22">_xlfn.IFS(I22=1,AA6,I22=2,AA7,I22=3,AA8,I22=4,AA9,I22=5,AA10,I22=6,AA11,I22=7,AA12,I22=8,AA13,I22=9,AA14,I22=10,AA15,I22=11,AA16,I22=12,AA17,I22=13,AA18,I22=14,AA19,I22=15,AA20,I22=16,AA21,I22=17,AA22,I22=18,AA23,I22=19,AA24,I22=20,AA25,I22=21,AA26,I22=22,AA27)</f>
        <v>15.50 - 20.00</v>
      </c>
      <c r="K22" s="52"/>
      <c r="L22" s="14">
        <v>14</v>
      </c>
      <c r="M22" s="52" t="str" cm="1">
        <f t="array" ref="M22">_xlfn.IFS(L22=1,AA6,L22=2,AA7,L22=3,AA8,L22=4,AA9,L22=5,AA10,L22=6,AA11,L22=7,AA12,L22=8,AA13,L22=9,AA14,L22=10,AA15,L22=11,AA16,L22=12,AA17,L22=13,AA18,L22=14,AA19,L22=15,AA20,L22=16,AA21,L22=17,AA22,L22=18,AA23,L22=19,AA24,L22=20,AA25,L22=21,AA26,L22=22,AA27)</f>
        <v>17.50 - 22.00</v>
      </c>
      <c r="N22" s="52"/>
      <c r="O22" s="14">
        <v>15</v>
      </c>
      <c r="P22" s="52" t="str" cm="1">
        <f t="array" ref="P22">_xlfn.IFS(O22=1,AA6,O22=2,AA7,O22=3,AA8,O22=4,AA9,O22=5,AA10,O22=6,AA11,O22=7,AA12,O22=8,AA13,O22=9,AA14,O22=10,AA15,O22=11,AA16,O22=12,AA17,O22=13,AA18,O22=14,AA19,O22=15,AA20,O22=16,AA21,O22=17,AA22,O22=18,AA23,O22=19,AA24,O22=20,AA25,O22=21,AA26,O22=22,AA27)</f>
        <v>RIPOSO</v>
      </c>
      <c r="Q22" s="52"/>
      <c r="R22" s="14">
        <v>11</v>
      </c>
      <c r="S22" s="52" t="str" cm="1">
        <f t="array" ref="S22">_xlfn.IFS(R22=1,AA6,R22=2,AA7,R22=3,AA8,R22=4,AA9,R22=5,AA10,R22=6,AA11,R22=7,AA12,R22=8,AA13,R22=9,AA14,R22=10,AA15,R22=11,AA16,R22=12,AA17,R22=13,AA18,R22=14,AA19,R22=15,AA20,R22=16,AA21,R22=17,AA22,R22=18,AA23,R22=19,AA24,R22=20,AA25,R22=21,AA26,R22=22,AA27)</f>
        <v>14.50 - 19.00</v>
      </c>
      <c r="T22" s="52"/>
      <c r="U22" s="14">
        <v>12</v>
      </c>
      <c r="V22" s="68" t="str" cm="1">
        <f t="array" ref="V22">_xlfn.IFS(U22=1,AA6,U22=2,AA7,U22=3,AA8,U22=4,AA9,U22=5,AA10,U22=6,AA11,U22=7,AA12,U22=8,AA13,U22=9,AA14,U22=10,AA15,U22=11,AA16,U22=12,AA17,U22=13,AA18,U22=14,AA19,U22=15,AA20,U22=16,AA21,U22=17,AA22,U22=18,AA23,U22=19,AA24,U22=20,AA25,U22=21,AA26,U22=22,AA27)</f>
        <v>15.50 - 20.00</v>
      </c>
      <c r="W22" s="69"/>
      <c r="Z22" s="24">
        <v>17</v>
      </c>
      <c r="AA22" s="106" t="s">
        <v>23</v>
      </c>
      <c r="AB22" s="107"/>
      <c r="AC22" s="47"/>
      <c r="AD22" s="48"/>
    </row>
    <row r="23" spans="1:30" ht="21.9" customHeight="1" thickBot="1" x14ac:dyDescent="0.35">
      <c r="A23" s="96"/>
      <c r="B23" s="94"/>
      <c r="C23" s="6"/>
      <c r="D23" s="51"/>
      <c r="E23" s="51"/>
      <c r="F23" s="6"/>
      <c r="G23" s="51"/>
      <c r="H23" s="51"/>
      <c r="I23" s="6"/>
      <c r="J23" s="51"/>
      <c r="K23" s="51"/>
      <c r="L23" s="6"/>
      <c r="M23" s="51"/>
      <c r="N23" s="51"/>
      <c r="O23" s="6"/>
      <c r="P23" s="51"/>
      <c r="Q23" s="51"/>
      <c r="R23" s="6"/>
      <c r="S23" s="51"/>
      <c r="T23" s="51"/>
      <c r="U23" s="6"/>
      <c r="V23" s="66"/>
      <c r="W23" s="67"/>
      <c r="Z23" s="24">
        <v>18</v>
      </c>
      <c r="AA23" s="104" t="s">
        <v>21</v>
      </c>
      <c r="AB23" s="105"/>
      <c r="AC23" s="47"/>
      <c r="AD23" s="48"/>
    </row>
    <row r="24" spans="1:30" ht="21" customHeight="1" x14ac:dyDescent="0.3">
      <c r="Z24" s="27">
        <v>19</v>
      </c>
      <c r="AA24" s="56" t="s">
        <v>20</v>
      </c>
      <c r="AB24" s="57"/>
      <c r="AC24" s="49"/>
      <c r="AD24" s="50"/>
    </row>
    <row r="25" spans="1:30" ht="21" customHeight="1" x14ac:dyDescent="0.3">
      <c r="B25" s="37" t="s">
        <v>30</v>
      </c>
      <c r="C25" s="37"/>
      <c r="D25" s="37"/>
      <c r="E25" s="37"/>
      <c r="F25" s="37"/>
      <c r="G25" s="37"/>
      <c r="H25" s="37"/>
      <c r="I25" s="37"/>
      <c r="J25" s="37"/>
      <c r="K25" s="37"/>
      <c r="L25" s="25"/>
      <c r="P25" s="40"/>
      <c r="Q25" s="40"/>
      <c r="R25" s="40"/>
      <c r="S25" s="40"/>
      <c r="T25" s="40"/>
      <c r="U25" s="40"/>
      <c r="V25" s="40"/>
      <c r="Z25" s="24">
        <v>20</v>
      </c>
      <c r="AA25" s="35" t="s">
        <v>41</v>
      </c>
      <c r="AB25" s="35"/>
      <c r="AC25" s="31"/>
      <c r="AD25" s="32"/>
    </row>
    <row r="26" spans="1:30" ht="21" customHeight="1" x14ac:dyDescent="0.3">
      <c r="B26" s="39" t="s">
        <v>31</v>
      </c>
      <c r="C26" s="39"/>
      <c r="D26" s="39"/>
      <c r="E26" s="39"/>
      <c r="F26" s="39"/>
      <c r="G26" s="39"/>
      <c r="H26" s="25"/>
      <c r="I26" s="25"/>
      <c r="J26" s="25"/>
      <c r="P26" s="40" t="s">
        <v>19</v>
      </c>
      <c r="Q26" s="40"/>
      <c r="R26" s="40"/>
      <c r="S26" s="40"/>
      <c r="T26" s="40"/>
      <c r="U26" s="40"/>
      <c r="V26" s="40"/>
      <c r="Z26" s="27">
        <v>21</v>
      </c>
      <c r="AA26" s="35" t="s">
        <v>41</v>
      </c>
      <c r="AB26" s="35"/>
      <c r="AC26" s="31"/>
      <c r="AD26" s="32"/>
    </row>
    <row r="27" spans="1:30" ht="21" customHeight="1" thickBot="1" x14ac:dyDescent="0.35">
      <c r="B27" s="38" t="s">
        <v>44</v>
      </c>
      <c r="C27" s="38"/>
      <c r="D27" s="38"/>
      <c r="E27" s="38"/>
      <c r="F27" s="38"/>
      <c r="G27" s="38"/>
      <c r="P27" s="38" t="s">
        <v>43</v>
      </c>
      <c r="Q27" s="38"/>
      <c r="R27" s="38"/>
      <c r="S27" s="38"/>
      <c r="T27" s="38"/>
      <c r="U27" s="38"/>
      <c r="V27" s="38"/>
      <c r="Z27" s="28">
        <v>22</v>
      </c>
      <c r="AA27" s="36" t="s">
        <v>41</v>
      </c>
      <c r="AB27" s="36"/>
      <c r="AC27" s="33"/>
      <c r="AD27" s="34"/>
    </row>
    <row r="28" spans="1:30" ht="21" customHeight="1" x14ac:dyDescent="0.3">
      <c r="AA28" s="98" t="s">
        <v>41</v>
      </c>
      <c r="AB28" s="98"/>
    </row>
    <row r="29" spans="1:30" ht="21" customHeight="1" x14ac:dyDescent="0.3"/>
    <row r="30" spans="1:30" ht="21" customHeight="1" x14ac:dyDescent="0.3"/>
  </sheetData>
  <mergeCells count="191">
    <mergeCell ref="AA28:AB28"/>
    <mergeCell ref="Z4:AD4"/>
    <mergeCell ref="P25:V25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23:AB23"/>
    <mergeCell ref="AA6:AB6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P11:Q11"/>
    <mergeCell ref="P12:Q12"/>
    <mergeCell ref="P13:Q13"/>
    <mergeCell ref="A20:A21"/>
    <mergeCell ref="A22:A23"/>
    <mergeCell ref="B20:B21"/>
    <mergeCell ref="B22:B23"/>
    <mergeCell ref="A12:A13"/>
    <mergeCell ref="B12:B13"/>
    <mergeCell ref="A14:A15"/>
    <mergeCell ref="A16:A17"/>
    <mergeCell ref="A18:A19"/>
    <mergeCell ref="B14:B15"/>
    <mergeCell ref="B16:B17"/>
    <mergeCell ref="B18:B19"/>
    <mergeCell ref="D16:E16"/>
    <mergeCell ref="D17:E17"/>
    <mergeCell ref="D8:E8"/>
    <mergeCell ref="D9:E9"/>
    <mergeCell ref="D10:E10"/>
    <mergeCell ref="D11:E11"/>
    <mergeCell ref="D12:E12"/>
    <mergeCell ref="B6:B7"/>
    <mergeCell ref="A6:A7"/>
    <mergeCell ref="A8:A9"/>
    <mergeCell ref="B8:B9"/>
    <mergeCell ref="A10:A11"/>
    <mergeCell ref="B10:B11"/>
    <mergeCell ref="D6:E6"/>
    <mergeCell ref="D7:E7"/>
    <mergeCell ref="D23:E23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D18:E18"/>
    <mergeCell ref="D19:E19"/>
    <mergeCell ref="D20:E20"/>
    <mergeCell ref="D21:E21"/>
    <mergeCell ref="D22:E22"/>
    <mergeCell ref="D13:E13"/>
    <mergeCell ref="D14:E14"/>
    <mergeCell ref="D15:E15"/>
    <mergeCell ref="G19:H19"/>
    <mergeCell ref="G20:H20"/>
    <mergeCell ref="G23:H23"/>
    <mergeCell ref="M21:N21"/>
    <mergeCell ref="M22:N22"/>
    <mergeCell ref="M23:N23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J20:K20"/>
    <mergeCell ref="J21:K21"/>
    <mergeCell ref="J22:K22"/>
    <mergeCell ref="J23:K23"/>
    <mergeCell ref="J6:K6"/>
    <mergeCell ref="P9:Q9"/>
    <mergeCell ref="P10:Q10"/>
    <mergeCell ref="P21:Q21"/>
    <mergeCell ref="P22:Q22"/>
    <mergeCell ref="G21:H21"/>
    <mergeCell ref="G22:H22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P20:Q20"/>
    <mergeCell ref="A1:W1"/>
    <mergeCell ref="Q3:R3"/>
    <mergeCell ref="A3:K3"/>
    <mergeCell ref="V11:W11"/>
    <mergeCell ref="V12:W12"/>
    <mergeCell ref="V13:W13"/>
    <mergeCell ref="V14:W14"/>
    <mergeCell ref="V15:W15"/>
    <mergeCell ref="V6:W6"/>
    <mergeCell ref="V7:W7"/>
    <mergeCell ref="V8:W8"/>
    <mergeCell ref="V9:W9"/>
    <mergeCell ref="V10:W10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P14:Q14"/>
    <mergeCell ref="P23:Q23"/>
    <mergeCell ref="P16:Q16"/>
    <mergeCell ref="P17:Q17"/>
    <mergeCell ref="P18:Q18"/>
    <mergeCell ref="P19:Q19"/>
    <mergeCell ref="AA25:AB25"/>
    <mergeCell ref="Z5:AD5"/>
    <mergeCell ref="AA24:AB24"/>
    <mergeCell ref="AC11:AD12"/>
    <mergeCell ref="AC9:AD10"/>
    <mergeCell ref="V21:W21"/>
    <mergeCell ref="V22:W22"/>
    <mergeCell ref="V23:W23"/>
    <mergeCell ref="V16:W16"/>
    <mergeCell ref="V17:W17"/>
    <mergeCell ref="V18:W18"/>
    <mergeCell ref="V19:W19"/>
    <mergeCell ref="V20:W20"/>
    <mergeCell ref="AC18:AD19"/>
    <mergeCell ref="AC13:AD17"/>
    <mergeCell ref="P15:Q15"/>
    <mergeCell ref="P6:Q6"/>
    <mergeCell ref="P7:Q7"/>
    <mergeCell ref="P8:Q8"/>
    <mergeCell ref="AC6:AD8"/>
    <mergeCell ref="AC20:AD20"/>
    <mergeCell ref="AC21:AD21"/>
    <mergeCell ref="AC22:AD22"/>
    <mergeCell ref="AC23:AD23"/>
    <mergeCell ref="AC24:AD24"/>
    <mergeCell ref="S21:T21"/>
    <mergeCell ref="S22:T22"/>
    <mergeCell ref="S23:T23"/>
    <mergeCell ref="S16:T16"/>
    <mergeCell ref="S17:T17"/>
    <mergeCell ref="S18:T18"/>
    <mergeCell ref="S19:T19"/>
    <mergeCell ref="S20:T20"/>
    <mergeCell ref="AC25:AD25"/>
    <mergeCell ref="AC26:AD26"/>
    <mergeCell ref="AC27:AD27"/>
    <mergeCell ref="AA26:AB26"/>
    <mergeCell ref="AA27:AB27"/>
    <mergeCell ref="B25:K25"/>
    <mergeCell ref="P27:V27"/>
    <mergeCell ref="B26:G26"/>
    <mergeCell ref="B27:G27"/>
    <mergeCell ref="P26:V26"/>
  </mergeCells>
  <phoneticPr fontId="4" type="noConversion"/>
  <conditionalFormatting sqref="D6:T23">
    <cfRule type="cellIs" dxfId="5" priority="1" operator="equal">
      <formula>"Congedo gg. 00"</formula>
    </cfRule>
    <cfRule type="cellIs" dxfId="4" priority="2" operator="equal">
      <formula>"."</formula>
    </cfRule>
    <cfRule type="cellIs" dxfId="3" priority="3" operator="equal">
      <formula>"RIPOSO"</formula>
    </cfRule>
  </conditionalFormatting>
  <pageMargins left="0.31496062992125984" right="0.31496062992125984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8"/>
  <sheetViews>
    <sheetView topLeftCell="A19" workbookViewId="0">
      <selection sqref="A1:W1"/>
    </sheetView>
  </sheetViews>
  <sheetFormatPr defaultRowHeight="14.4" x14ac:dyDescent="0.3"/>
  <cols>
    <col min="1" max="1" width="4" customWidth="1"/>
    <col min="2" max="2" width="16" customWidth="1"/>
    <col min="3" max="3" width="3" customWidth="1"/>
    <col min="4" max="4" width="11" customWidth="1"/>
    <col min="5" max="5" width="3.33203125" customWidth="1"/>
    <col min="6" max="6" width="3" customWidth="1"/>
    <col min="7" max="7" width="11" customWidth="1"/>
    <col min="8" max="8" width="3.33203125" customWidth="1"/>
    <col min="9" max="9" width="3" customWidth="1"/>
    <col min="10" max="10" width="11" customWidth="1"/>
    <col min="11" max="11" width="3.33203125" customWidth="1"/>
    <col min="12" max="12" width="3" customWidth="1"/>
    <col min="13" max="13" width="11" customWidth="1"/>
    <col min="14" max="14" width="3.33203125" customWidth="1"/>
    <col min="15" max="15" width="3" customWidth="1"/>
    <col min="16" max="16" width="11" customWidth="1"/>
    <col min="17" max="17" width="3.33203125" customWidth="1"/>
    <col min="18" max="18" width="3" customWidth="1"/>
    <col min="19" max="19" width="11" customWidth="1"/>
    <col min="20" max="20" width="3.33203125" customWidth="1"/>
    <col min="21" max="21" width="3" customWidth="1"/>
    <col min="22" max="22" width="11" customWidth="1"/>
    <col min="23" max="23" width="3.33203125" customWidth="1"/>
    <col min="26" max="26" width="4.44140625" customWidth="1"/>
    <col min="27" max="27" width="11" customWidth="1"/>
    <col min="28" max="28" width="3.33203125" customWidth="1"/>
  </cols>
  <sheetData>
    <row r="1" spans="1:31" ht="24.6" x14ac:dyDescent="0.4">
      <c r="A1" s="82" t="s">
        <v>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/>
    </row>
    <row r="2" spans="1:31" ht="10.5" customHeight="1" x14ac:dyDescent="0.35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"/>
    </row>
    <row r="3" spans="1:31" ht="16.2" thickBot="1" x14ac:dyDescent="0.35">
      <c r="A3" s="86" t="s">
        <v>11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16">
        <v>6</v>
      </c>
      <c r="M3" s="17" t="s">
        <v>32</v>
      </c>
      <c r="N3" s="18" t="s">
        <v>12</v>
      </c>
      <c r="O3" s="16">
        <v>12</v>
      </c>
      <c r="P3" s="16" t="s">
        <v>32</v>
      </c>
      <c r="Q3" s="85">
        <v>2024</v>
      </c>
      <c r="R3" s="85"/>
      <c r="S3" s="19"/>
      <c r="T3" s="19"/>
      <c r="U3" s="19"/>
      <c r="V3" s="19"/>
      <c r="W3" s="20"/>
    </row>
    <row r="4" spans="1:31" ht="15" thickBot="1" x14ac:dyDescent="0.35">
      <c r="A4" s="3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4"/>
      <c r="Z4" s="99" t="s">
        <v>13</v>
      </c>
      <c r="AA4" s="100"/>
      <c r="AB4" s="100"/>
      <c r="AC4" s="100"/>
      <c r="AD4" s="101"/>
    </row>
    <row r="5" spans="1:31" ht="15" thickBot="1" x14ac:dyDescent="0.35">
      <c r="A5" s="9" t="s">
        <v>0</v>
      </c>
      <c r="B5" s="10" t="s">
        <v>1</v>
      </c>
      <c r="C5" s="11"/>
      <c r="D5" s="10" t="s">
        <v>2</v>
      </c>
      <c r="E5" s="21">
        <f>L3</f>
        <v>6</v>
      </c>
      <c r="F5" s="11"/>
      <c r="G5" s="10" t="s">
        <v>3</v>
      </c>
      <c r="H5" s="22">
        <v>7</v>
      </c>
      <c r="I5" s="12"/>
      <c r="J5" s="10" t="s">
        <v>4</v>
      </c>
      <c r="K5" s="22">
        <v>8</v>
      </c>
      <c r="L5" s="12"/>
      <c r="M5" s="10" t="s">
        <v>5</v>
      </c>
      <c r="N5" s="22">
        <v>9</v>
      </c>
      <c r="O5" s="12"/>
      <c r="P5" s="10" t="s">
        <v>6</v>
      </c>
      <c r="Q5" s="22">
        <v>10</v>
      </c>
      <c r="R5" s="12"/>
      <c r="S5" s="10" t="s">
        <v>7</v>
      </c>
      <c r="T5" s="22">
        <v>11</v>
      </c>
      <c r="U5" s="12"/>
      <c r="V5" s="13" t="s">
        <v>8</v>
      </c>
      <c r="W5" s="23">
        <v>12</v>
      </c>
      <c r="Z5" s="53"/>
      <c r="AA5" s="54"/>
      <c r="AB5" s="54"/>
      <c r="AC5" s="54"/>
      <c r="AD5" s="55"/>
    </row>
    <row r="6" spans="1:31" ht="21.9" customHeight="1" x14ac:dyDescent="0.3">
      <c r="A6" s="95">
        <v>1</v>
      </c>
      <c r="B6" s="93" t="s">
        <v>54</v>
      </c>
      <c r="C6" s="14">
        <v>14</v>
      </c>
      <c r="D6" s="52" t="str" cm="1">
        <f t="array" ref="D6">_xlfn.IFS(C6=1,AA6,C6=2,AA7,C6=3,AA8,C6=4,AA9,C6=5,AA10,C6=6,AA11,C6=7,AA12,C6=8,AA13,C6=9,AA14,C6=10,AA15,C6=11,AA16,C6=12,AA17,C6=13,AA18,C6=14,AA19,C6=15,AA20,C6=16,AA21,C6=17,AA22,C6=18,AA23,C6=19,AA24,C6=20,AA25,C6=21,AA26,C6=22,AA27)</f>
        <v>17.50 - 22.00</v>
      </c>
      <c r="E6" s="52"/>
      <c r="F6" s="14">
        <v>1</v>
      </c>
      <c r="G6" s="80" t="str" cm="1">
        <f t="array" ref="G6">_xlfn.IFS(F6=1,AA6,F6=2,AA7,F6=3,AA8,F6=4,AA9,F6=5,AA10,F6=6,AA11,F6=7,AA12,F6=8,AA13,F6=9,AA14,F6=10,AA15,F6=11,AA16,F6=12,AA17,F6=13,AA18,F6=14,AA19,F6=15,AA20,F6=16,AA21,F6=17,AA22,F6=18,AA23,F6=19,AA24,F6=20,AA25,F6=21,AA26,F6=22,AA27)</f>
        <v>7.30 - 13.30</v>
      </c>
      <c r="H6" s="81"/>
      <c r="I6" s="14">
        <v>3</v>
      </c>
      <c r="J6" s="80" t="str" cm="1">
        <f t="array" ref="J6">_xlfn.IFS(I6=1,AA6,I6=2,AA7,I6=3,AA8,I6=4,AA9,I6=5,AA10,I6=6,AA11,I6=7,AA12,I6=8,AA13,I6=9,AA14,I6=10,AA15,I6=11,AA16,I6=12,AA17,I6=13,AA18,I6=14,AA19,I6=15,AA20,I6=16,AA21,I6=17,AA22,I6=18,AA23,I6=19,AA24,I6=20,AA25,I6=21,AA26,I6=22,AA27)</f>
        <v>14.00 - 20.00</v>
      </c>
      <c r="K6" s="81"/>
      <c r="L6" s="14">
        <v>1</v>
      </c>
      <c r="M6" s="80" t="str" cm="1">
        <f t="array" ref="M6">_xlfn.IFS(L6=1,AA6,L6=2,AA7,L6=3,AA8,L6=4,AA9,L6=5,AA10,L6=6,AA11,L6=7,AA12,L6=8,AA13,L6=9,AA14,L6=10,AA15,L6=11,AA16,L6=12,AA17,L6=13,AA18,L6=14,AA19,L6=15,AA20,L6=16,AA21,L6=17,AA22,L6=18,AA23,L6=19,AA24,L6=20,AA25,L6=21,AA26,L6=22,AA27)</f>
        <v>7.30 - 13.30</v>
      </c>
      <c r="N6" s="81"/>
      <c r="O6" s="14">
        <v>3</v>
      </c>
      <c r="P6" s="80" t="str" cm="1">
        <f t="array" ref="P6">_xlfn.IFS(O6=1,AA6,O6=2,AA7,O6=3,AA8,O6=4,AA9,O6=5,AA10,O6=6,AA11,O6=7,AA12,O6=8,AA13,O6=9,AA14,O6=10,AA15,O6=11,AA16,O6=12,AA17,O6=13,AA18,O6=14,AA19,O6=15,AA20,O6=16,AA21,O6=17,AA22,O6=18,AA23,O6=19,AA24,O6=20,AA25,O6=21,AA26,O6=22,AD27)</f>
        <v>14.00 - 20.00</v>
      </c>
      <c r="Q6" s="81"/>
      <c r="R6" s="14">
        <v>1</v>
      </c>
      <c r="S6" s="80" t="str" cm="1">
        <f t="array" ref="S6">_xlfn.IFS(R6=1,AA6,R6=2,AA7,R6=3,AA8,R6=4,AA9,R6=5,AA10,R6=6,AA11,R6=7,AA12,R6=8,AA13,R6=9,AA14,R6=10,AA15,R6=11,AA16,R6=12,AA17,R6=13,AA18,R6=14,AA19,R6=15,AA20,R6=16,AA21,R6=17,AA22,R6=18,AA23,R6=19,AA24,R6=20,AA25,R6=21,AA26,R6=22,AA27)</f>
        <v>7.30 - 13.30</v>
      </c>
      <c r="T6" s="81"/>
      <c r="U6" s="14">
        <v>14</v>
      </c>
      <c r="V6" s="88" t="str" cm="1">
        <f t="array" ref="V6">_xlfn.IFS(U6=1,AA6,U6=2,AA7,U6=3,AA8,U6=4,AA9,U6=5,AA10,U6=6,AA11,U6=7,AA12,U6=8,AA13,U6=9,AA14,U6=10,AA15,U6=11,AA16,U6=12,AA17,U6=13,AA18,U6=14,AA19,U6=15,AA20,U6=16,AA21,U6=17,AA22,U6=18,AA23,U6=19,AA24,U6=20,AA25,U6=21,AA26,U6=22,AA27)</f>
        <v>17.50 - 22.00</v>
      </c>
      <c r="W6" s="89"/>
      <c r="Z6" s="24">
        <v>1</v>
      </c>
      <c r="AA6" s="108" t="s">
        <v>10</v>
      </c>
      <c r="AB6" s="108"/>
      <c r="AC6" s="41" t="s">
        <v>29</v>
      </c>
      <c r="AD6" s="42"/>
    </row>
    <row r="7" spans="1:31" ht="21.9" customHeight="1" thickBot="1" x14ac:dyDescent="0.35">
      <c r="A7" s="96"/>
      <c r="B7" s="94"/>
      <c r="C7" s="5">
        <v>0</v>
      </c>
      <c r="D7" s="51" t="str">
        <f>IF(C7=19,AA24,".")</f>
        <v>.</v>
      </c>
      <c r="E7" s="51"/>
      <c r="F7" s="5">
        <v>18</v>
      </c>
      <c r="G7" s="51" t="str">
        <f>IF(F7=19,AA24,".")</f>
        <v>.</v>
      </c>
      <c r="H7" s="51"/>
      <c r="I7" s="5">
        <v>0</v>
      </c>
      <c r="J7" s="51" t="str">
        <f>IF(I7=19,AA24,".")</f>
        <v>.</v>
      </c>
      <c r="K7" s="51"/>
      <c r="L7" s="5">
        <v>0</v>
      </c>
      <c r="M7" s="90" t="str">
        <f>IF(L7=19,AA24,".")</f>
        <v>.</v>
      </c>
      <c r="N7" s="91"/>
      <c r="O7" s="5">
        <v>0</v>
      </c>
      <c r="P7" s="51" t="str">
        <f>IF(O7=19,AA24,".")</f>
        <v>.</v>
      </c>
      <c r="Q7" s="51"/>
      <c r="R7" s="5">
        <v>0</v>
      </c>
      <c r="S7" s="51" t="str">
        <f>IF(R7=19,AA24,".")</f>
        <v>.</v>
      </c>
      <c r="T7" s="51"/>
      <c r="U7" s="6"/>
      <c r="V7" s="66"/>
      <c r="W7" s="67"/>
      <c r="Z7" s="24">
        <v>2</v>
      </c>
      <c r="AA7" s="108" t="s">
        <v>14</v>
      </c>
      <c r="AB7" s="108"/>
      <c r="AC7" s="43"/>
      <c r="AD7" s="44"/>
    </row>
    <row r="8" spans="1:31" ht="21.9" customHeight="1" x14ac:dyDescent="0.3">
      <c r="A8" s="95">
        <v>2</v>
      </c>
      <c r="B8" s="93" t="s">
        <v>55</v>
      </c>
      <c r="C8" s="14">
        <v>2</v>
      </c>
      <c r="D8" s="52" t="str" cm="1">
        <f t="array" ref="D8">_xlfn.IFS(C8=1,AA6,C8=2,AA7,C8=3,AA8,C8=4,AA9,C8=5,AA10,C8=6,AA11,C8=7,AA12,C8=8,AA13,C8=9,AA14,C8=10,AA15,C8=11,AA16,C8=12,AA17,C8=13,AA18,C8=14,AA19,C8=15,AA20,C8=16,AA21,C8=17,AA22,C8=18,AA23,C8=19,AA24,C8=20,AA25,C8=21,AA26,C8=22,AA27)</f>
        <v>8.00 - 14.00</v>
      </c>
      <c r="E8" s="52"/>
      <c r="F8" s="14">
        <v>15</v>
      </c>
      <c r="G8" s="52" t="str" cm="1">
        <f t="array" ref="G8">_xlfn.IFS(F8=1,AA6,F8=2,AA7,F8=3,AA8,F8=4,AA9,F8=5,AA10,F8=6,AA11,F8=7,AA12,F8=8,AA13,F8=9,AA14,F8=10,AA15,F8=11,AA16,F8=12,AA17,F8=13,AA18,F8=14,AA19,F8=15,AA20,F8=16,AA21,F8=17,AA22,F8=18,AA23,F8=19,AA24,F8=20,AA25,F8=21,AA26,F8=22,AA27)</f>
        <v>RIPOSO</v>
      </c>
      <c r="H8" s="52"/>
      <c r="I8" s="14">
        <v>1</v>
      </c>
      <c r="J8" s="52" t="str" cm="1">
        <f t="array" ref="J8">_xlfn.IFS(I8=1,AA6,I8=2,AA7,I8=3,AA8,I8=4,AA9,I8=5,AA10,I8=6,AA11,I8=7,AA12,I8=8,AA13,I8=9,AA14,I8=10,AA15,I8=11,AA16,I8=12,AA17,I8=13,AA18,I8=14,AA19,I8=15,AA20,I8=16,AA21,I8=17,AA22,I8=18,AA23,I8=19,AA24,I8=20,AA25,I8=21,AA26,I8=22,AA27)</f>
        <v>7.30 - 13.30</v>
      </c>
      <c r="K8" s="52"/>
      <c r="L8" s="14">
        <v>8</v>
      </c>
      <c r="M8" s="52" t="str" cm="1">
        <f t="array" ref="M8">_xlfn.IFS(L8=1,AA6,L8=2,AA7,L8=3,AA8,L8=4,AA9,L8=5,AA10,L8=6,AA11,L8=7,AA12,L8=8,AA13,L8=9,AA14,L8=10,AA15,L8=11,AA16,L8=12,AA17,L8=13,AA18,L8=14,AA19,L8=15,AA20,L8=16,AA21,L8=17,AA22,L8=18,AA23,L8=19,AA24,L8=20,AA25,L8=21,AA26,L8=22,AA27)</f>
        <v>7.30- 11.40</v>
      </c>
      <c r="N8" s="52"/>
      <c r="O8" s="14">
        <v>1</v>
      </c>
      <c r="P8" s="52" t="str" cm="1">
        <f t="array" ref="P8">_xlfn.IFS(O8=1,AA6,O8=2,AA7,O8=3,AA8,O8=4,AA9,O8=5,AA10,O8=6,AA11,O8=7,AA12,O8=8,AA13,O8=9,AA14,O8=10,AA15,O8=11,AA16,O8=12,AA17,O8=13,AA18,O8=14,AA19,O8=15,AA20,O8=16,AA21,O8=17,AA22,O8=18,AA23,O8=19,AA24,O8=20,AA25,O8=21,AA26,O8=22,AD27)</f>
        <v>7.30 - 13.30</v>
      </c>
      <c r="Q8" s="52"/>
      <c r="R8" s="14">
        <v>3</v>
      </c>
      <c r="S8" s="52" t="str" cm="1">
        <f t="array" ref="S8">_xlfn.IFS(R8=1,AA6,R8=2,AA7,R8=3,AA8,R8=4,AA9,R8=5,AA10,R8=6,AA11,R8=7,AA12,R8=8,AA13,R8=9,AA14,R8=10,AA15,R8=11,AA16,R8=12,AA17,R8=13,AA18,R8=14,AA19,R8=15,AA20,R8=16,AA21,R8=17,AA22,R8=18,AA23,R8=19,AA24,R8=20,AA25,R8=21,AA26,R8=22,AA27)</f>
        <v>14.00 - 20.00</v>
      </c>
      <c r="T8" s="52"/>
      <c r="U8" s="14">
        <v>14</v>
      </c>
      <c r="V8" s="88" t="str" cm="1">
        <f t="array" ref="V8">_xlfn.IFS(U8=1,AA6,U8=2,AA7,U8=3,AA8,U8=4,AA9,U8=5,AA10,U8=6,AA11,U8=7,AA12,U8=8,AA13,U8=9,AA14,U8=10,AA15,U8=11,AA16,U8=12,AA17,U8=13,AA18,U8=14,AA19,U8=15,AA20,U8=16,AA21,U8=17,AA22,U8=18,AA23,U8=19,AA24,U8=20,AA25,U8=21,AA26,U8=22,AA27)</f>
        <v>17.50 - 22.00</v>
      </c>
      <c r="W8" s="89"/>
      <c r="Z8" s="24">
        <v>3</v>
      </c>
      <c r="AA8" s="108" t="s">
        <v>9</v>
      </c>
      <c r="AB8" s="108"/>
      <c r="AC8" s="45"/>
      <c r="AD8" s="46"/>
    </row>
    <row r="9" spans="1:31" ht="21.9" customHeight="1" thickBot="1" x14ac:dyDescent="0.35">
      <c r="A9" s="96"/>
      <c r="B9" s="94"/>
      <c r="C9" s="5">
        <v>19</v>
      </c>
      <c r="D9" s="51" t="str">
        <f>IF(C9=19,AA24,".")</f>
        <v>TRIBUNALE</v>
      </c>
      <c r="E9" s="51"/>
      <c r="F9" s="5">
        <v>0</v>
      </c>
      <c r="G9" s="51" t="str">
        <f>IF(F9=18,AA24,".")</f>
        <v>.</v>
      </c>
      <c r="H9" s="51"/>
      <c r="I9" s="5">
        <v>0</v>
      </c>
      <c r="J9" s="51" t="str">
        <f>IF(I9=18,AA24,".")</f>
        <v>.</v>
      </c>
      <c r="K9" s="51"/>
      <c r="L9" s="5">
        <v>0</v>
      </c>
      <c r="M9" s="51" t="str">
        <f>IF(L9=19,AA24,".")</f>
        <v>.</v>
      </c>
      <c r="N9" s="51"/>
      <c r="O9" s="5">
        <v>0</v>
      </c>
      <c r="P9" s="51" t="str">
        <f>IF(O9=19,AA24,".")</f>
        <v>.</v>
      </c>
      <c r="Q9" s="51"/>
      <c r="R9" s="5">
        <v>0</v>
      </c>
      <c r="S9" s="51" t="str">
        <f>IF(R9=19,AA24,".")</f>
        <v>.</v>
      </c>
      <c r="T9" s="51"/>
      <c r="U9" s="6"/>
      <c r="V9" s="66"/>
      <c r="W9" s="67"/>
      <c r="Z9" s="24">
        <v>4</v>
      </c>
      <c r="AA9" s="108" t="s">
        <v>27</v>
      </c>
      <c r="AB9" s="109"/>
      <c r="AC9" s="62" t="s">
        <v>24</v>
      </c>
      <c r="AD9" s="63"/>
    </row>
    <row r="10" spans="1:31" ht="21.9" customHeight="1" x14ac:dyDescent="0.3">
      <c r="A10" s="95">
        <v>3</v>
      </c>
      <c r="B10" s="93" t="s">
        <v>47</v>
      </c>
      <c r="C10" s="14">
        <v>14</v>
      </c>
      <c r="D10" s="52" t="str" cm="1">
        <f t="array" ref="D10">_xlfn.IFS(C10=1,AA6,C10=2,AA7,C10=3,AA8,C10=4,AA9,C10=5,AA10,C10=6,AA11,C10=7,AA12,C10=8,AA13,C10=9,AA14,C10=10,AA15,C10=11,AA16,C10=12,AA17,C10=13,AA18,C10=14,AA19,C10=15,AA20,C10=16,AA21,C10=17,AA22,C10=18,AA23,C10=19,AA24,C10=20,AA25,C10=21,AA26,C10=22,AA27)</f>
        <v>17.50 - 22.00</v>
      </c>
      <c r="E10" s="52"/>
      <c r="F10" s="14">
        <v>3</v>
      </c>
      <c r="G10" s="52" t="str" cm="1">
        <f t="array" ref="G10">_xlfn.IFS(F10=1,AA6,F10=2,AA7,F10=3,AA8,F10=4,AA9,F10=5,AA10,F10=6,AA11,F10=7,AA12,F10=8,AA13,F10=9,AA14,F10=10,AA15,F10=11,AA16,F10=12,AA17,F10=13,AA18,F10=14,AA19,F10=15,AA20,F10=16,AA21,F10=17,AA22,F10=18,AA23,F10=19,AA24,F10=20,AA25,F10=21,AA26,F10=22,AA27)</f>
        <v>14.00 - 20.00</v>
      </c>
      <c r="H10" s="52"/>
      <c r="I10" s="14">
        <v>1</v>
      </c>
      <c r="J10" s="52" t="str" cm="1">
        <f t="array" ref="J10">_xlfn.IFS(I10=1,AA6,I10=2,AA7,I10=3,AA8,I10=4,AA9,I10=5,AA10,I10=6,AA11,I10=7,AA12,I10=8,AA13,I10=9,AA14,I10=10,AA15,I10=11,AA16,I10=12,AA17,I10=13,AA18,I10=14,AA19,I10=15,AA20,I10=16,AA21,I10=17,AA22,I10=18,AA23,I10=19,AA24,I10=20,AA25,I10=21,AA26,I10=22,AA27)</f>
        <v>7.30 - 13.30</v>
      </c>
      <c r="K10" s="52"/>
      <c r="L10" s="14">
        <v>1</v>
      </c>
      <c r="M10" s="52" t="str" cm="1">
        <f t="array" ref="M10">_xlfn.IFS(L10=1,AA6,L10=2,AA7,L10=3,AA8,L10=4,AA9,L10=5,AA10,L10=6,AA11,L10=7,AA12,L10=8,AA13,L10=9,AA14,L10=10,AA15,L10=11,AA16,L10=12,AA17,L10=13,AA18,L10=14,AA19,L10=15,AA20,L10=16,AA21,L10=17,AA22,L10=18,AA23,L10=19,AA24,L10=20,AA25,L10=21,AA26,L10=22,AA27)</f>
        <v>7.30 - 13.30</v>
      </c>
      <c r="N10" s="52"/>
      <c r="O10" s="14">
        <v>1</v>
      </c>
      <c r="P10" s="52" t="str" cm="1">
        <f t="array" ref="P10">_xlfn.IFS(O10=1,AA6,O10=2,AA7,O10=3,AA8,O10=4,AA9,O10=5,AA10,O10=6,AA11,O10=7,AA12,O10=8,AA13,O10=9,AA14,O10=10,AA15,O10=11,AA16,O10=12,AA17,O10=13,AA18,O10=14,AA19,O10=15,AA20,O10=16,AA21,O10=17,AA22,O10=18,AA23,O10=19,AA24,O10=20,AA25,O10=21,AA26,O10=22,AA27)</f>
        <v>7.30 - 13.30</v>
      </c>
      <c r="Q10" s="52"/>
      <c r="R10" s="14">
        <v>1</v>
      </c>
      <c r="S10" s="52" t="str" cm="1">
        <f t="array" ref="S10">_xlfn.IFS(R10=1,AA6,R10=2,AA7,R10=3,AA8,R10=4,AA9,R10=5,AA10,R10=6,AA11,R10=7,AA12,R10=8,AA13,R10=9,AA14,R10=10,AA15,R10=11,AA16,R10=12,AA17,R10=13,AA18,R10=14,AA19,R10=15,AA20,R10=16,AA21,R10=17,AA22,R10=18,AA23,R10=19,AA24,R10=20,AA25,R10=21,AA26,R10=22,AA27)</f>
        <v>7.30 - 13.30</v>
      </c>
      <c r="T10" s="52"/>
      <c r="U10" s="14">
        <v>14</v>
      </c>
      <c r="V10" s="88" t="str" cm="1">
        <f t="array" ref="V10">_xlfn.IFS(U10=1,AA6,U10=2,AA7,U10=3,AA8,U10=4,AA9,U10=5,AA10,U10=6,AA11,U10=7,AA12,U10=8,AA13,U10=9,AA14,U10=10,AA15,U10=11,AA16,U10=12,AA17,U10=13,AA18,U10=14,AA19,U10=15,AA20,U10=16,AA21,U10=17,AA22,U10=18,AA23,U10=19,AA24,U10=20,AA25,U10=21,AA26,U10=22,AA27)</f>
        <v>17.50 - 22.00</v>
      </c>
      <c r="W10" s="89"/>
      <c r="Z10" s="24">
        <v>5</v>
      </c>
      <c r="AA10" s="108" t="s">
        <v>15</v>
      </c>
      <c r="AB10" s="109"/>
      <c r="AC10" s="64"/>
      <c r="AD10" s="65"/>
    </row>
    <row r="11" spans="1:31" ht="21.9" customHeight="1" thickBot="1" x14ac:dyDescent="0.35">
      <c r="A11" s="96"/>
      <c r="B11" s="97"/>
      <c r="C11" s="5">
        <v>0</v>
      </c>
      <c r="D11" s="51" t="str">
        <f>IF(C11=19,AA24,".")</f>
        <v>.</v>
      </c>
      <c r="E11" s="51"/>
      <c r="F11" s="5">
        <v>0</v>
      </c>
      <c r="G11" s="51" t="str">
        <f>IF(F11=19,AA24,".")</f>
        <v>.</v>
      </c>
      <c r="H11" s="51"/>
      <c r="I11" s="5">
        <v>0</v>
      </c>
      <c r="J11" s="51" t="str">
        <f>IF(I11=19,AA24,".")</f>
        <v>.</v>
      </c>
      <c r="K11" s="51"/>
      <c r="L11" s="5">
        <v>0</v>
      </c>
      <c r="M11" s="51" t="str">
        <f>IF(L11=19,AA24,".")</f>
        <v>.</v>
      </c>
      <c r="N11" s="51"/>
      <c r="O11" s="5">
        <v>0</v>
      </c>
      <c r="P11" s="51" t="str">
        <f>IF(O11=19,AA24,".")</f>
        <v>.</v>
      </c>
      <c r="Q11" s="51"/>
      <c r="R11" s="5">
        <v>0</v>
      </c>
      <c r="S11" s="51" t="str">
        <f>IF(R11=19,AA24,".")</f>
        <v>.</v>
      </c>
      <c r="T11" s="51"/>
      <c r="U11" s="6"/>
      <c r="V11" s="66"/>
      <c r="W11" s="67"/>
      <c r="Z11" s="24">
        <v>6</v>
      </c>
      <c r="AA11" s="110" t="s">
        <v>16</v>
      </c>
      <c r="AB11" s="110"/>
      <c r="AC11" s="58" t="s">
        <v>26</v>
      </c>
      <c r="AD11" s="59"/>
    </row>
    <row r="12" spans="1:31" ht="21.9" customHeight="1" x14ac:dyDescent="0.3">
      <c r="A12" s="95">
        <v>4</v>
      </c>
      <c r="B12" s="93" t="s">
        <v>56</v>
      </c>
      <c r="C12" s="14">
        <v>14</v>
      </c>
      <c r="D12" s="52" t="str" cm="1">
        <f t="array" ref="D12">_xlfn.IFS(C12=1,AA6,C12=2,AA7,C12=3,AA8,C12=4,AA9,C12=5,AA10,C12=6,AA11,C12=7,AA12,C12=8,AA13,C12=9,AA14,C12=10,AA15,C12=11,AA16,C12=12,AA17,C12=13,AA18,C12=14,AA19,C12=15,AA20,C12=16,AA21,C12=17,AA22,C12=18,AA23,C12=19,AA24,C12=20,AA25,C12=21,AA26,C12=22,AA27)</f>
        <v>17.50 - 22.00</v>
      </c>
      <c r="E12" s="52"/>
      <c r="F12" s="14">
        <v>1</v>
      </c>
      <c r="G12" s="52" t="str" cm="1">
        <f t="array" ref="G12">_xlfn.IFS(F12=1,AA6,F12=2,AA7,F12=3,AA8,F12=4,AA9,F12=5,AA10,F12=6,AA11,F12=7,AA12,F12=8,AA13,F12=9,AA14,F12=10,AA15,F12=11,AA16,F12=12,AA17,F12=13,AA18,F12=14,AA19,F12=15,AA20,F12=16,AA21,F12=17,AA22,F12=18,AA23,F12=19,AA24,F12=20,AA25,F12=21,AA26,F12=22,AA27)</f>
        <v>7.30 - 13.30</v>
      </c>
      <c r="H12" s="52"/>
      <c r="I12" s="14">
        <v>1</v>
      </c>
      <c r="J12" s="52" t="str" cm="1">
        <f t="array" ref="J12">_xlfn.IFS(I12=1,AA6,I12=2,AA7,I12=3,AA8,I12=4,AA9,I12=5,AA10,I12=6,AA11,I12=7,AA12,I12=8,AA13,I12=9,AA14,I12=10,AA15,I12=11,AA16,I12=12,AA17,I12=13,AA18,I12=14,AA19,I12=15,AA20,I12=16,AA21,I12=17,AA22,I12=18,AA23,I12=19,AA24,I12=20,AA25,I12=21,AA26,I12=22,AA27)</f>
        <v>7.30 - 13.30</v>
      </c>
      <c r="K12" s="52"/>
      <c r="L12" s="14">
        <v>3</v>
      </c>
      <c r="M12" s="52" t="str" cm="1">
        <f t="array" ref="M12">_xlfn.IFS(L12=1,AA6,L12=2,AA7,L12=3,AA8,L12=4,AA9,L12=5,AA10,L12=6,AA11,L12=7,AA12,L12=8,AA13,L12=9,AA14,L12=10,AA15,L12=11,AA16,L12=12,AA17,L12=13,AA18,L12=14,AA19,L12=15,AA20,L12=16,AA21,L12=17,AA22,L12=18,AA23,L12=19,AA24,L12=20,AA25,L12=21,AA26,L12=22,AA27)</f>
        <v>14.00 - 20.00</v>
      </c>
      <c r="N12" s="52"/>
      <c r="O12" s="14">
        <v>1</v>
      </c>
      <c r="P12" s="52" t="str" cm="1">
        <f t="array" ref="P12">_xlfn.IFS(O12=1,AA6,O12=2,AA7,O12=3,AA8,O12=4,AA9,O12=5,AA10,O12=6,AA11,O12=7,AA12,O12=8,AA13,O12=9,AA14,O12=10,AA15,O12=11,AA16,O12=12,AA17,O12=13,AA18,O12=14,AA19,O12=15,AA20,O12=16,AA21,O12=17,AA22,O12=18,AA23,O12=19,AA24,O12=20,AA25,O12=21,AA26,O12=22,AA27)</f>
        <v>7.30 - 13.30</v>
      </c>
      <c r="Q12" s="52"/>
      <c r="R12" s="14">
        <v>1</v>
      </c>
      <c r="S12" s="52" t="str" cm="1">
        <f t="array" ref="S12">_xlfn.IFS(R12=1,AA6,R12=2,AA7,R12=3,AA8,R12=4,AA9,R12=5,AA10,R12=6,AA11,R12=7,AA12,R12=8,AA13,R12=9,AA14,R12=10,AA15,R12=11,AA16,R12=12,AA17,R12=13,AA18,R12=14,AA19,R12=15,AA20,R12=16,AA21,R12=17,AA22,R12=18,AA23,R12=19,AA24,R12=20,AA25,R12=21,AAP26,R12=22,AA27)</f>
        <v>7.30 - 13.30</v>
      </c>
      <c r="T12" s="52"/>
      <c r="U12" s="14">
        <v>3</v>
      </c>
      <c r="V12" s="88" t="str" cm="1">
        <f t="array" ref="V12">_xlfn.IFS(U12=1,AA6,U12=2,AA7,U12=3,AA8,U12=4,AA9,U12=5,AA10,U12=6,AA11,U12=7,AA12,U12=8,AA13,U12=9,AA14,U12=10,AA15,U12=11,AA16,U12=12,AA17,U12=13,AA18,U12=14,AA19,U12=15,AA20,U12=16,AA21,U12=17,AA22,U12=18,AA23,U12=19,AA24,U12=20,AA25,U12=21,AA26,U12=22,AA27)</f>
        <v>14.00 - 20.00</v>
      </c>
      <c r="W12" s="89"/>
      <c r="Z12" s="24">
        <v>7</v>
      </c>
      <c r="AA12" s="110" t="s">
        <v>17</v>
      </c>
      <c r="AB12" s="110"/>
      <c r="AC12" s="60"/>
      <c r="AD12" s="61"/>
      <c r="AE12" s="15"/>
    </row>
    <row r="13" spans="1:31" ht="21.9" customHeight="1" thickBot="1" x14ac:dyDescent="0.35">
      <c r="A13" s="96"/>
      <c r="B13" s="94"/>
      <c r="C13" s="5">
        <v>0</v>
      </c>
      <c r="D13" s="51" t="str">
        <f>IF(C13=19,AA24,".")</f>
        <v>.</v>
      </c>
      <c r="E13" s="51"/>
      <c r="F13" s="5">
        <v>0</v>
      </c>
      <c r="G13" s="51" t="str">
        <f>IF(F13=19,AA24,".")</f>
        <v>.</v>
      </c>
      <c r="H13" s="51"/>
      <c r="I13" s="5">
        <v>0</v>
      </c>
      <c r="J13" s="51" t="str">
        <f>IF(I13=19,AA24,".")</f>
        <v>.</v>
      </c>
      <c r="K13" s="51"/>
      <c r="L13" s="5">
        <v>0</v>
      </c>
      <c r="M13" s="51" t="str">
        <f>IF(L13=19,AA24,".")</f>
        <v>.</v>
      </c>
      <c r="N13" s="51"/>
      <c r="O13" s="5">
        <v>0</v>
      </c>
      <c r="P13" s="51" t="str">
        <f>IF(O13=19,AA24,".")</f>
        <v>.</v>
      </c>
      <c r="Q13" s="51"/>
      <c r="R13" s="5">
        <v>0</v>
      </c>
      <c r="S13" s="51" t="str">
        <f>IF(R13=19,AA24,".")</f>
        <v>.</v>
      </c>
      <c r="T13" s="51"/>
      <c r="U13" s="6"/>
      <c r="V13" s="66"/>
      <c r="W13" s="67"/>
      <c r="Z13" s="24">
        <v>8</v>
      </c>
      <c r="AA13" s="111" t="s">
        <v>22</v>
      </c>
      <c r="AB13" s="112"/>
      <c r="AC13" s="74" t="s">
        <v>28</v>
      </c>
      <c r="AD13" s="75"/>
    </row>
    <row r="14" spans="1:31" ht="21.9" customHeight="1" x14ac:dyDescent="0.3">
      <c r="A14" s="95">
        <v>5</v>
      </c>
      <c r="B14" s="93" t="s">
        <v>48</v>
      </c>
      <c r="C14" s="14">
        <v>14</v>
      </c>
      <c r="D14" s="52" t="str" cm="1">
        <f t="array" ref="D14">_xlfn.IFS(C14=1,AA6,C14=2,AA7,C14=3,AA8,C14=4,AA9,C14=5,AA10,C14=6,AA11,C14=7,AA12,C14=8,AA13,C14=9,AA14,C14=10,AA15,C14=11,AA16,C14=12,AA17,C14=13,AA18,C14=14,AA19,C14=15,AA20,C14=16,AA21,C14=17,AA22,C14=18,AA23,C14=19,AA24,C14=20,AA25,C14=21,AA26,C14=22,AA27)</f>
        <v>17.50 - 22.00</v>
      </c>
      <c r="E14" s="52"/>
      <c r="F14" s="14">
        <v>6</v>
      </c>
      <c r="G14" s="52" t="str" cm="1">
        <f t="array" ref="G14">_xlfn.IFS(F14=1,AA6,F14=2,AA7,F14=3,AA8,F14=4,AA9,F14=5,AA10,F14=6,AA11,F14=7,AA12,F14=8,AA13,F14=9,AA14,F14=10,AA15,F14=11,AA16,F14=12,AA17,F14=13,AA18,F14=14,AA19,F14=15,AA20,F14=16,AA21,F14=17,AA22,F14=18,AA23,F14=19,AA24,F14=20,AA25,F14=21,AA26,F14=22,AA27)</f>
        <v>8.00 - 14.30</v>
      </c>
      <c r="H14" s="52"/>
      <c r="I14" s="14">
        <v>6</v>
      </c>
      <c r="J14" s="52" t="str" cm="1">
        <f t="array" ref="J14">_xlfn.IFS(I14=1,AA6,I14=2,AA7,I14=3,AA8,I14=4,AA9,I14=5,AA10,I14=6,AA11,I14=7,AA12,I14=8,AA13,I14=9,AA14,I14=10,AA15,I14=11,AA16,I14=12,AA17,I14=13,AA18,I14=14,AA19,I14=15,AA20,I14=16,AA21,I14=17,AA22,I14=18,AA23,I14=19,AA24,I14=20,AA25,I14=21,AA26,I14=22,AA27)</f>
        <v>8.00 - 14.30</v>
      </c>
      <c r="K14" s="52"/>
      <c r="L14" s="14">
        <v>6</v>
      </c>
      <c r="M14" s="52" t="str" cm="1">
        <f t="array" ref="M14">_xlfn.IFS(L14=1,AA6,L14=2,AA7,L14=3,AA8,L14=4,AA9,L14=5,AA10,L14=6,AA11,L14=7,AA12,L14=8,AA13,L14=9,AA14,L14=10,AA15,L14=11,AA16,L14=12,AA17,L14=13,AA18,L14=14,AA19,L14=15,AA20,L14=16,AA21,L14=17,AA22,L14=18,AA23,L14=19,AA24,L14=20,AA25,L14=21,AA26,L14=22,AA27)</f>
        <v>8.00 - 14.30</v>
      </c>
      <c r="N14" s="52"/>
      <c r="O14" s="14">
        <v>6</v>
      </c>
      <c r="P14" s="52" t="str" cm="1">
        <f t="array" ref="P14">_xlfn.IFS(O14=1,AA6,O14=2,AA7,O14=3,AA8,O14=4,AA9,O14=5,AA10,O14=6,AA11,O14=7,AA12,O14=8,AA13,O14=9,AA14,O14=10,AA15,O14=11,AA16,O14=12,AA17,O14=13,AA18,O14=14,AA19,O14=15,AA20,O14=16,AA21,O14=17,AA22,O14=18,AA23,O14=19,AA24,O14=20,AA25,O14=21,AA26,O14=22,AA27)</f>
        <v>8.00 - 14.30</v>
      </c>
      <c r="Q14" s="52"/>
      <c r="R14" s="14">
        <v>14</v>
      </c>
      <c r="S14" s="52" t="str" cm="1">
        <f t="array" ref="S14">_xlfn.IFS(R14=1,AA6,R14=2,AA7,R14=3,AA8,R14=4,AA9,R14=5,AA10,R14=6,AA11,R14=7,AA12,R14=8,AA13,R14=9,AA14,R14=10,AA15,R14=11,AA16,R14=12,AA17,R14=13,AA18,R14=14,AA19,R14=15,AA20,R14=16,AA21,R14=17,AA22,R14=18,AA23,R14=19,AA24,R14=20,AA25,R14=21,AA26,R14=22,AA27)</f>
        <v>17.50 - 22.00</v>
      </c>
      <c r="T14" s="52"/>
      <c r="U14" s="14">
        <v>14</v>
      </c>
      <c r="V14" s="88" t="str" cm="1">
        <f t="array" ref="V14">_xlfn.IFS(U14=1,AA6,U14=2,AA7,U14=3,AA8,U14=4,AA9,U14=5,AA10,U14=6,AA11,U14=7,AA12,U14=8,AA13,U14=9,AA14,U14=10,AA15,U14=11,AA16,U14=12,AA17,U14=13,AA18,U14=14,AA19,U14=15,AA20,U14=16,AA21,U14=17,AA22,U14=18,AA23,U14=19,AA24,U14=20,AA25,U14=21,AA26,U14=22,AA27)</f>
        <v>17.50 - 22.00</v>
      </c>
      <c r="W14" s="89"/>
      <c r="Z14" s="24">
        <v>9</v>
      </c>
      <c r="AA14" s="102" t="s">
        <v>34</v>
      </c>
      <c r="AB14" s="103"/>
      <c r="AC14" s="76"/>
      <c r="AD14" s="77"/>
    </row>
    <row r="15" spans="1:31" ht="21.9" customHeight="1" thickBot="1" x14ac:dyDescent="0.35">
      <c r="A15" s="96"/>
      <c r="B15" s="94"/>
      <c r="C15" s="5">
        <v>7</v>
      </c>
      <c r="D15" s="92" t="str" cm="1">
        <f t="array" ref="D15">_xlfn.IFS(C15=7,AA12,C15=19,AA24,C15&lt;6,AA28,C15&gt;7,AA28)</f>
        <v>15.30 - 19.30</v>
      </c>
      <c r="E15" s="92"/>
      <c r="F15" s="6"/>
      <c r="G15" s="51" t="str">
        <f>IF(F15=19,AA24,".")</f>
        <v>.</v>
      </c>
      <c r="H15" s="51"/>
      <c r="I15" s="6"/>
      <c r="J15" s="51" t="str">
        <f>IF(I15=19,AA24,".")</f>
        <v>.</v>
      </c>
      <c r="K15" s="51"/>
      <c r="L15" s="6"/>
      <c r="M15" s="51" t="str">
        <f>IF(L15=19,AA24,".")</f>
        <v>.</v>
      </c>
      <c r="N15" s="51"/>
      <c r="O15" s="6"/>
      <c r="P15" s="51" t="str">
        <f>IF(O15=19,AA24,".")</f>
        <v>.</v>
      </c>
      <c r="Q15" s="51"/>
      <c r="R15" s="6"/>
      <c r="S15" s="51" t="str">
        <f>IF(R15=19,AA24,".")</f>
        <v>.</v>
      </c>
      <c r="T15" s="51"/>
      <c r="U15" s="6"/>
      <c r="V15" s="66"/>
      <c r="W15" s="67"/>
      <c r="Z15" s="24">
        <v>10</v>
      </c>
      <c r="AA15" s="102" t="s">
        <v>36</v>
      </c>
      <c r="AB15" s="103"/>
      <c r="AC15" s="76"/>
      <c r="AD15" s="77"/>
    </row>
    <row r="16" spans="1:31" ht="21.9" customHeight="1" x14ac:dyDescent="0.3">
      <c r="A16" s="95">
        <v>6</v>
      </c>
      <c r="B16" s="93" t="s">
        <v>50</v>
      </c>
      <c r="C16" s="14">
        <v>14</v>
      </c>
      <c r="D16" s="52" t="str" cm="1">
        <f t="array" ref="D16">_xlfn.IFS(C16=1,AA6,C16=2,AA7,C16=3,AA8,C16=4,AA9,C16=5,AA10,C16=6,AA11,C16=7,AA12,C16=8,AA13,C16=9,AA14,C16=10,AA15,C16=11,AA16,C16=12,AA17,C16=13,AA18,C16=14,AA19,C16=15,AA20,C16=16,AA21,C16=17,AA22,C16=18,AA23,C16=19,AA24,C16=20,AA25,C16=21,AA26,C16=22,AA27)</f>
        <v>17.50 - 22.00</v>
      </c>
      <c r="E16" s="52"/>
      <c r="F16" s="14">
        <v>17</v>
      </c>
      <c r="G16" s="52" t="str" cm="1">
        <f t="array" ref="G16">_xlfn.IFS(F16=1,AA6,F16=2,AA7,F16=3,AA8,F16=4,AA9,F16=5,AA10,F16=6,AA11,F16=7,AA12,F16=8,AA13,F16=9,AA14,F16=10,AA15,F16=11,AA16,F16=12,AA17,F16=13,AA18,F16=14,AA19,F16=15,AA20,F16=16,AA21,F16=17,AA22,F16=18,AA23,F16=19,AA24,F16=20,AA25,F16=21,AA26,F16=22,AA27)</f>
        <v>Congedo gg. 00</v>
      </c>
      <c r="H16" s="52"/>
      <c r="I16" s="14">
        <v>17</v>
      </c>
      <c r="J16" s="52" t="str" cm="1">
        <f t="array" ref="J16">_xlfn.IFS(I16=1,AA6,I16=2,AA7,I16=3,AA8,I16=4,AA9,I16=5,AA10,I16=6,AA11,I16=7,AA12,I16=8,AA13,I16=9,AA14,I16=10,AA15,I16=11,AA16,I16=12,AA17,I16=13,AA18,I16=14,AA19,I16=15,AA20,I16=16,AA21,I16=17,AA22,I16=18,AA23,I16=19,AA24,I16=20,AA25,I16=21,AA26,I16=22,AA27)</f>
        <v>Congedo gg. 00</v>
      </c>
      <c r="K16" s="52"/>
      <c r="L16" s="14">
        <v>17</v>
      </c>
      <c r="M16" s="52" t="str" cm="1">
        <f t="array" ref="M16">_xlfn.IFS(L16=1,AA6,L16=2,AA7,L16=3,AA8,L16=4,AA9,L16=5,AA10,L16=6,AA11,L16=7,AA12,L16=8,AA13,L16=9,AA14,L16=10,AA15,L16=11,AA16,L16=12,AA17,L16=13,AA18,L16=14,AA19,L16=15,AA20,L16=16,AA21,L16=17,AA22,L16=18,AA23,L16=19,AA24,L16=20,AA25,L16=21,AA26,L16=22,AA27)</f>
        <v>Congedo gg. 00</v>
      </c>
      <c r="N16" s="52"/>
      <c r="O16" s="14">
        <v>17</v>
      </c>
      <c r="P16" s="52" t="str" cm="1">
        <f t="array" ref="P16">_xlfn.IFS(O16=1,AA6,O16=2,AA7,O16=3,AA8,O16=4,AA9,O16=5,AA10,O16=6,AA11,O16=7,AA12,O16=8,AA13,O16=9,AA14,O16=10,AA15,O16=11,AA16,O16=12,AA17,O16=13,AA18,O16=14,AA19,O16=15,AA20,O16=16,AA21,O16=17,AA22,O16=18,AA23,O16=19,AA24,O16=20,AA25,O16=21,AA26,O16=22,AA27)</f>
        <v>Congedo gg. 00</v>
      </c>
      <c r="Q16" s="52"/>
      <c r="R16" s="14">
        <v>17</v>
      </c>
      <c r="S16" s="52" t="str" cm="1">
        <f t="array" ref="S16">_xlfn.IFS(R16=1,AA6,R16=2,AA7,R16=3,AA8,R16=4,AA9,R16=5,AA10,R16=6,AA11,R16=7,AA12,R16=8,AA13,R16=9,AA14,R16=10,AA15,R16=11,AA16,R16=12,AA17,R16=13,AA18,R16=14,AA19,R16=15,AA20,R16=16,AA21,R16=17,AA22,R16=18,AA23,R16=19,AA24,R16=20,AA25,R16=21,AA26,R16=22,AA27)</f>
        <v>Congedo gg. 00</v>
      </c>
      <c r="T16" s="52"/>
      <c r="U16" s="14">
        <v>14</v>
      </c>
      <c r="V16" s="88" t="str" cm="1">
        <f t="array" ref="V16">_xlfn.IFS(U16=1,AA6,U16=2,AA7,U16=3,AA8,U16=4,AA9,U16=5,AA10,U16=6,AA11,U16=7,AA12,U16=8,AA13,U16=9,AA14,U16=10,AA15,U16=11,AA16,U16=12,AA17,U16=13,AA18,U16=14,AA19,U16=15,AA20,U16=16,AA21,U16=17,AA22,U16=18,AA23,U16=19,AA24,U16=20,AA25,U16=21,AA26,U16=22,AA27)</f>
        <v>17.50 - 22.00</v>
      </c>
      <c r="W16" s="89"/>
      <c r="Z16" s="24">
        <v>11</v>
      </c>
      <c r="AA16" s="102" t="s">
        <v>37</v>
      </c>
      <c r="AB16" s="103"/>
      <c r="AC16" s="76"/>
      <c r="AD16" s="77"/>
    </row>
    <row r="17" spans="1:30" ht="21.9" customHeight="1" thickBot="1" x14ac:dyDescent="0.35">
      <c r="A17" s="96"/>
      <c r="B17" s="94"/>
      <c r="C17" s="6"/>
      <c r="D17" s="51"/>
      <c r="E17" s="51"/>
      <c r="F17" s="6"/>
      <c r="G17" s="51"/>
      <c r="H17" s="51"/>
      <c r="I17" s="6"/>
      <c r="J17" s="51"/>
      <c r="K17" s="51"/>
      <c r="L17" s="6"/>
      <c r="M17" s="51"/>
      <c r="N17" s="51"/>
      <c r="O17" s="6"/>
      <c r="P17" s="51"/>
      <c r="Q17" s="51"/>
      <c r="R17" s="6"/>
      <c r="S17" s="51"/>
      <c r="T17" s="51"/>
      <c r="U17" s="6"/>
      <c r="V17" s="66"/>
      <c r="W17" s="67"/>
      <c r="Z17" s="24">
        <v>12</v>
      </c>
      <c r="AA17" s="102" t="s">
        <v>38</v>
      </c>
      <c r="AB17" s="103"/>
      <c r="AC17" s="78"/>
      <c r="AD17" s="79"/>
    </row>
    <row r="18" spans="1:30" ht="21.9" customHeight="1" x14ac:dyDescent="0.3">
      <c r="A18" s="95">
        <v>7</v>
      </c>
      <c r="B18" s="93" t="s">
        <v>57</v>
      </c>
      <c r="C18" s="14">
        <v>14</v>
      </c>
      <c r="D18" s="52" t="str" cm="1">
        <f t="array" ref="D18">_xlfn.IFS(C18=1,AA6,C18=2,AA7,C18=3,AA8,C18=4,AA9,C18=5,AA10,C18=6,AA11,C18=7,AA12,C18=8,AA13,C18=9,AA14,C18=10,AA15,C18=11,AA16,C18=12,AA17,C18=13,AA18,C18=14,AA19,C18=15,AA20,C18=16,AA21,C18=17,AA22,C18=18,AA23,C18=19,AA24,C18=20,AA25,C18=21,AA26,C18=22,AA27)</f>
        <v>17.50 - 22.00</v>
      </c>
      <c r="E18" s="52"/>
      <c r="F18" s="14">
        <v>11</v>
      </c>
      <c r="G18" s="52" t="str" cm="1">
        <f t="array" ref="G18">_xlfn.IFS(F18=1,AA6,F18=2,AA7,F18=3,AA8,F18=4,AA9,F18=5,AA10,F18=6,AA11,F18=7,AA12,F18=8,AA13,F18=9,AA14,F18=10,AA15,F18=11,AA16,F18=12,AA17,F18=13,AA18,F18=14,AA19,F18=15,AA20,F18=16,AA21,F18=17,AA22,F18=18,AA23,F18=19,AA24,F18=20,AA25,F18=21,AA26,F18=22,AA27)</f>
        <v>14.50 - 19.00</v>
      </c>
      <c r="H18" s="52"/>
      <c r="I18" s="14">
        <v>8</v>
      </c>
      <c r="J18" s="52" t="str" cm="1">
        <f t="array" ref="J18">_xlfn.IFS(I18=1,AA6,I18=2,AA7,I18=3,AA8,I18=4,AA9,I18=5,AA10,I18=6,AA11,I18=7,AA12,I18=8,AA13,I18=9,AA14,I18=10,AA15,I18=11,AA16,I18=12,AA17,I18=13,AA18,I18=14,AA19,I18=15,AA20,I18=16,AA21,I18=17,AA22,I18=18,AA23,I18=19,AA24,I18=20,AA25,I18=21,AA26,I18=22,AA27)</f>
        <v>7.30- 11.40</v>
      </c>
      <c r="K18" s="52"/>
      <c r="L18" s="14">
        <v>8</v>
      </c>
      <c r="M18" s="52" t="str" cm="1">
        <f t="array" ref="M18">_xlfn.IFS(L18=1,AA6,L18=2,AA7,L18=3,AA8,L18=4,AA9,L18=5,AA10,L18=6,AA11,L18=7,AA12,L18=8,AA13,L18=9,AA14,L18=10,AA15,L18=11,AA16,L18=12,AA17,L18=13,AA18,L18=14,AA19,L18=15,AA20,L18=16,AA21,L18=17,AA22,L18=18,AA23,L18=19,AA24,L18=20,AA25,L18=21,AA26,L18=22,AA27)</f>
        <v>7.30- 11.40</v>
      </c>
      <c r="N18" s="52"/>
      <c r="O18" s="14">
        <v>10</v>
      </c>
      <c r="P18" s="52" t="str" cm="1">
        <f t="array" ref="P18">_xlfn.IFS(O18=1,AA6,O18=2,AA7,O18=3,AA8,O18=4,AA9,O18=5,AA10,O18=6,AA11,O18=7,AA12,O18=8,AA13,O18=9,AA14,O18=10,AA15,O18=11,AA16,O18=12,AA17,O18=13,AA18,O18=14,AA19,O18=15,AA20,O18=16,AA21,O18=17,AA22,O18=18,AA23,O18=19,AA24,O18=20,AA25,O18=21,AA26,O18=22,AA27)</f>
        <v>8.50 - 13.00</v>
      </c>
      <c r="Q18" s="52"/>
      <c r="R18" s="14">
        <v>11</v>
      </c>
      <c r="S18" s="52" t="str" cm="1">
        <f t="array" ref="S18">_xlfn.IFS(R18=1,AA6,R18=2,AA7,R18=3,AA8,R18=4,AA9,R18=5,AA10,R18=6,AA11,R18=7,AA12,R18=8,AA13,R18=9,AA14,R18=10,AA15,R18=11,AA16,R18=12,AA17,R18=13,AA18,R18=14,AA19,R18=15,AA20,R18=16,AA21,R18=17,AA22,R18=18,AA23,R18=19,AA24,R18=20,AA25,R18=21,AA26,R18=22,AA27)</f>
        <v>14.50 - 19.00</v>
      </c>
      <c r="T18" s="52"/>
      <c r="U18" s="14">
        <v>12</v>
      </c>
      <c r="V18" s="88" t="str" cm="1">
        <f t="array" ref="V18">_xlfn.IFS(U18=1,AA6,U18=2,AA7,U18=3,AA8,U18=4,AA9,U18=5,AA10,U18=6,AA11,U18=7,AA12,U18=8,AA13,U18=9,AA14,U18=10,AA15,U18=11,AA16,U18=12,AA17,U18=13,AA18,U18=14,AA19,U18=15,AA20,U18=16,AA21,U18=17,AA22,U18=18,AA23,U18=19,AA24,U18=20,AA25,U18=21,AA26,U18=22,AA27)</f>
        <v>15.50 - 20.00</v>
      </c>
      <c r="W18" s="89"/>
      <c r="Z18" s="24">
        <v>13</v>
      </c>
      <c r="AA18" s="102" t="s">
        <v>39</v>
      </c>
      <c r="AB18" s="103"/>
      <c r="AC18" s="70" t="s">
        <v>35</v>
      </c>
      <c r="AD18" s="71"/>
    </row>
    <row r="19" spans="1:30" ht="21.9" customHeight="1" thickBot="1" x14ac:dyDescent="0.35">
      <c r="A19" s="96"/>
      <c r="B19" s="94"/>
      <c r="C19" s="6"/>
      <c r="D19" s="51"/>
      <c r="E19" s="51"/>
      <c r="F19" s="6"/>
      <c r="G19" s="51"/>
      <c r="H19" s="51"/>
      <c r="I19" s="6"/>
      <c r="J19" s="51"/>
      <c r="K19" s="51"/>
      <c r="L19" s="6"/>
      <c r="M19" s="51"/>
      <c r="N19" s="51"/>
      <c r="O19" s="6"/>
      <c r="P19" s="51"/>
      <c r="Q19" s="51"/>
      <c r="R19" s="6"/>
      <c r="S19" s="51"/>
      <c r="T19" s="51"/>
      <c r="U19" s="6"/>
      <c r="V19" s="66"/>
      <c r="W19" s="67"/>
      <c r="Z19" s="24">
        <v>14</v>
      </c>
      <c r="AA19" s="102" t="s">
        <v>40</v>
      </c>
      <c r="AB19" s="103"/>
      <c r="AC19" s="72"/>
      <c r="AD19" s="73"/>
    </row>
    <row r="20" spans="1:30" ht="21.9" customHeight="1" x14ac:dyDescent="0.3">
      <c r="A20" s="95">
        <v>8</v>
      </c>
      <c r="B20" s="93" t="s">
        <v>52</v>
      </c>
      <c r="C20" s="14">
        <v>14</v>
      </c>
      <c r="D20" s="52" t="str" cm="1">
        <f t="array" ref="D20">_xlfn.IFS(C20=1,AA6,C20=2,AA7,C20=3,AA8,C20=4,AA9,C20=5,AA10,C20=6,AA11,C20=7,AA12,C20=8,AA13,C20=9,AA14,C20=10,AA15,C20=11,AA16,C20=12,AA17,C20=13,AA18,C20=14,AA19,C20=15,AA20,C20=16,AA21,C20=17,AA22,C20=18,AA23,C20=19,AA24,C20=20,AA25,C20=21,AA26,C20=22,AA27)</f>
        <v>17.50 - 22.00</v>
      </c>
      <c r="E20" s="52"/>
      <c r="F20" s="14">
        <v>8</v>
      </c>
      <c r="G20" s="52" t="str" cm="1">
        <f t="array" ref="G20">_xlfn.IFS(F20=1,AA6,F20=2,AA7,F20=3,AA8,F20=4,AA9,F20=5,AA10,F20=6,AA11,F20=7,AA12,F20=8,AA13,F20=9,AA14,F20=10,AA15,F20=11,AA16,F20=12,AA17,F20=13,AA18,F20=14,AA19,F20=15,AA20,F20=16,AA21,F20=17,AA22,F20=18,AA23,F20=19,AA24,F20=20,AA25,F20=21,AA26,F20=22,AA27)</f>
        <v>7.30- 11.40</v>
      </c>
      <c r="H20" s="52"/>
      <c r="I20" s="14">
        <v>11</v>
      </c>
      <c r="J20" s="52" t="str" cm="1">
        <f t="array" ref="J20">_xlfn.IFS(I20=1,AA6,I20=2,AA7,I20=3,AA8,I20=4,AA9,I20=5,AA10,I20=6,AA11,I20=7,AA12,I20=8,AA13,I20=9,AA14,I20=10,AA15,I20=11,AA16,I20=12,AA17,I20=13,AA18,I20=14,AA19,I20=15,AA20,I20=16,AA21,I20=17,AA22,I20=18,AA23,I20=19,AA24,I20=20,AA25,I20=21,AA26,I20=22,AA27)</f>
        <v>14.50 - 19.00</v>
      </c>
      <c r="K20" s="52"/>
      <c r="L20" s="14">
        <v>11</v>
      </c>
      <c r="M20" s="52" t="str" cm="1">
        <f t="array" ref="M20">_xlfn.IFS(L20=1,AA6,L20=2,AA7,L20=3,AA8,L20=4,AA9,L20=5,AA10,L20=6,AA11,L20=7,AA12,L20=8,AA13,L20=9,AA14,L20=10,AA15,L20=11,AA16,L20=12,AA17,L20=13,AA18,L20=14,AA19,L20=15,AA20,L20=16,AA21,L20=17,AA22,L20=18,AA23,L20=19,AA24,L20=20,AA25,L20=21,AA26,L20=22,AA27)</f>
        <v>14.50 - 19.00</v>
      </c>
      <c r="N20" s="52"/>
      <c r="O20" s="14">
        <v>15</v>
      </c>
      <c r="P20" s="52" t="str" cm="1">
        <f t="array" ref="P20">_xlfn.IFS(O20=1,AA6,O20=2,AA7,O20=3,AA8,O20=4,AA9,O20=5,AA10,O20=6,AA11,O20=7,AA12,O20=8,AA13,O20=9,AA14,O20=10,AA15,O20=11,AA16,O20=12,AA17,O20=13,AA18,O20=14,AA19,O20=15,AA20,O20=16,AA21,O20=17,AA22,O20=18,AA23,O20=19,AA24,O20=20,AA25,O20=21,AA26,O20=22,AA27)</f>
        <v>RIPOSO</v>
      </c>
      <c r="Q20" s="52"/>
      <c r="R20" s="14">
        <v>11</v>
      </c>
      <c r="S20" s="52" t="str" cm="1">
        <f t="array" ref="S20">_xlfn.IFS(R20=1,AA6,R20=2,AA7,R20=3,AA8,R20=4,AA9,R20=5,AA10,R20=6,AA11,R20=7,AA12,R20=8,AA13,R20=9,AA14,R20=10,AA15,R20=11,AA16,R20=12,AA17,R20=13,AA18,R20=14,AA19,R20=15,AA20,R20=16,AA21,R20=17,AA22,R20=18,AA23,R20=19,AA24,R20=20,AA25,R20=21,AA26,R20=22,AA27)</f>
        <v>14.50 - 19.00</v>
      </c>
      <c r="T20" s="52"/>
      <c r="U20" s="14">
        <v>12</v>
      </c>
      <c r="V20" s="88" t="str" cm="1">
        <f t="array" ref="V20">_xlfn.IFS(U20=1,AA6,U20=2,AA7,U20=3,AA8,U20=4,AA9,U20=5,AA10,U20=6,AA11,U20=7,AA12,U20=8,AA13,U20=9,AA14,U20=10,AA15,U20=11,AA16,U20=12,AA17,U20=13,AA18,U20=14,AA19,U20=15,AA20,U20=16,AA21,U20=17,AA22,U20=18,AA23,U20=19,AA24,U20=20,AA25,U20=21,AA26,U20=22,AA27)</f>
        <v>15.50 - 20.00</v>
      </c>
      <c r="W20" s="89"/>
      <c r="Z20" s="24">
        <v>15</v>
      </c>
      <c r="AA20" s="104" t="s">
        <v>18</v>
      </c>
      <c r="AB20" s="105"/>
      <c r="AC20" s="47"/>
      <c r="AD20" s="48"/>
    </row>
    <row r="21" spans="1:30" ht="21.9" customHeight="1" thickBot="1" x14ac:dyDescent="0.35">
      <c r="A21" s="96"/>
      <c r="B21" s="94"/>
      <c r="C21" s="6"/>
      <c r="D21" s="51"/>
      <c r="E21" s="51"/>
      <c r="F21" s="6"/>
      <c r="G21" s="51"/>
      <c r="H21" s="51"/>
      <c r="I21" s="6"/>
      <c r="J21" s="51"/>
      <c r="K21" s="51"/>
      <c r="L21" s="6"/>
      <c r="M21" s="51"/>
      <c r="N21" s="51"/>
      <c r="O21" s="6"/>
      <c r="P21" s="51"/>
      <c r="Q21" s="51"/>
      <c r="R21" s="6"/>
      <c r="S21" s="51"/>
      <c r="T21" s="51"/>
      <c r="U21" s="6"/>
      <c r="V21" s="66"/>
      <c r="W21" s="67"/>
      <c r="Z21" s="24">
        <v>16</v>
      </c>
      <c r="AA21" s="106" t="s">
        <v>33</v>
      </c>
      <c r="AB21" s="107"/>
      <c r="AC21" s="47"/>
      <c r="AD21" s="48"/>
    </row>
    <row r="22" spans="1:30" ht="21.9" customHeight="1" x14ac:dyDescent="0.3">
      <c r="A22" s="95">
        <v>9</v>
      </c>
      <c r="B22" s="93" t="s">
        <v>53</v>
      </c>
      <c r="C22" s="14">
        <v>14</v>
      </c>
      <c r="D22" s="52" t="str" cm="1">
        <f t="array" ref="D22">_xlfn.IFS(C22=1,AA6,C22=2,AA7,C22=3,AA8,C22=4,AA9,C22=5,AA10,C22=6,AA11,C22=7,AA12,C22=8,AA13,C22=9,AA14,C22=10,AA15,C22=11,AA16,C22=12,AA17,C22=13,AA18,C22=14,AA19,C22=15,AA20,C22=16,AA21,C22=17,AA22,C22=18,AA23,C22=19,AA24,C22=20,AA25,C22=21,AA26,C22=22,AA27)</f>
        <v>17.50 - 22.00</v>
      </c>
      <c r="E22" s="52"/>
      <c r="F22" s="14">
        <v>12</v>
      </c>
      <c r="G22" s="52" t="str" cm="1">
        <f t="array" ref="G22">_xlfn.IFS(F22=1,AA6,F22=2,AA7,F22=3,AA8,F22=4,AA9,F22=5,AA10,F22=6,AA11,F22=7,AA12,F22=8,AA13,F22=9,AA14,F22=10,AA15,F22=11,AA16,F22=12,AA17,F22=13,AA18,F22=14,AA19,F22=15,AA20,F22=16,AA21,F22=17,AA22,F22=18,AA23,F22=19,AA24,F22=20,AA25,F22=21,AA26,F22=22,AA27)</f>
        <v>15.50 - 20.00</v>
      </c>
      <c r="H22" s="52"/>
      <c r="I22" s="14">
        <v>12</v>
      </c>
      <c r="J22" s="52" t="str" cm="1">
        <f t="array" ref="J22">_xlfn.IFS(I22=1,AA6,I22=2,AA7,I22=3,AA8,I22=4,AA9,I22=5,AA10,I22=6,AA11,I22=7,AA12,I22=8,AA13,I22=9,AA14,I22=10,AA15,I22=11,AA16,I22=12,AA17,I22=13,AA18,I22=14,AA19,I22=15,AA20,I22=16,AA21,I22=17,AA22,I22=18,AA23,I22=19,AA24,I22=20,AA25,I22=21,AA26,I22=22,AA27)</f>
        <v>15.50 - 20.00</v>
      </c>
      <c r="K22" s="52"/>
      <c r="L22" s="14">
        <v>14</v>
      </c>
      <c r="M22" s="52" t="str" cm="1">
        <f t="array" ref="M22">_xlfn.IFS(L22=1,AA6,L22=2,AA7,L22=3,AA8,L22=4,AA9,L22=5,AA10,L22=6,AA11,L22=7,AA12,L22=8,AA13,L22=9,AA14,L22=10,AA15,L22=11,AA16,L22=12,AA17,L22=13,AA18,L22=14,AA19,L22=15,AA20,L22=16,AA21,L22=17,AA22,L22=18,AA23,L22=19,AA24,L22=20,AA25,L22=21,AA26,L22=22,AA27)</f>
        <v>17.50 - 22.00</v>
      </c>
      <c r="N22" s="52"/>
      <c r="O22" s="14">
        <v>15</v>
      </c>
      <c r="P22" s="52" t="str" cm="1">
        <f t="array" ref="P22">_xlfn.IFS(O22=1,AA6,O22=2,AA7,O22=3,AA8,O22=4,AA9,O22=5,AA10,O22=6,AA11,O22=7,AA12,O22=8,AA13,O22=9,AA14,O22=10,AA15,O22=11,AA16,O22=12,AA17,O22=13,AA18,O22=14,AA19,O22=15,AA20,O22=16,AA21,O22=17,AA22,O22=18,AA23,O22=19,AA24,O22=20,AA25,O22=21,AA26,O22=22,AA27)</f>
        <v>RIPOSO</v>
      </c>
      <c r="Q22" s="52"/>
      <c r="R22" s="14">
        <v>11</v>
      </c>
      <c r="S22" s="52" t="str" cm="1">
        <f t="array" ref="S22">_xlfn.IFS(R22=1,AA6,R22=2,AA7,R22=3,AA8,R22=4,AA9,R22=5,AA10,R22=6,AA11,R22=7,AA12,R22=8,AA13,R22=9,AA14,R22=10,AA15,R22=11,AA16,R22=12,AA17,R22=13,AA18,R22=14,AA19,R22=15,AA20,R22=16,AA21,R22=17,AA22,R22=18,AA23,R22=19,AA24,R22=20,AA25,R22=21,AA26,R22=22,AA27)</f>
        <v>14.50 - 19.00</v>
      </c>
      <c r="T22" s="52"/>
      <c r="U22" s="14">
        <v>12</v>
      </c>
      <c r="V22" s="88" t="str" cm="1">
        <f t="array" ref="V22">_xlfn.IFS(U22=1,AA6,U22=2,AA7,U22=3,AA8,U22=4,AA9,U22=5,AA10,U22=6,AA11,U22=7,AA12,U22=8,AA13,U22=9,AA14,U22=10,AA15,U22=11,AA16,U22=12,AA17,U22=13,AA18,U22=14,AA19,U22=15,AA20,U22=16,AA21,U22=17,AA22,U22=18,AA23,U22=19,AA24,U22=20,AA25,U22=21,AA26,U22=22,AA27)</f>
        <v>15.50 - 20.00</v>
      </c>
      <c r="W22" s="89"/>
      <c r="Z22" s="24">
        <v>17</v>
      </c>
      <c r="AA22" s="106" t="s">
        <v>23</v>
      </c>
      <c r="AB22" s="107"/>
      <c r="AC22" s="47"/>
      <c r="AD22" s="48"/>
    </row>
    <row r="23" spans="1:30" ht="21.9" customHeight="1" thickBot="1" x14ac:dyDescent="0.35">
      <c r="A23" s="96"/>
      <c r="B23" s="94"/>
      <c r="C23" s="6"/>
      <c r="D23" s="51"/>
      <c r="E23" s="51"/>
      <c r="F23" s="6"/>
      <c r="G23" s="51"/>
      <c r="H23" s="51"/>
      <c r="I23" s="6"/>
      <c r="J23" s="51"/>
      <c r="K23" s="51"/>
      <c r="L23" s="6"/>
      <c r="M23" s="51"/>
      <c r="N23" s="51"/>
      <c r="O23" s="6"/>
      <c r="P23" s="51"/>
      <c r="Q23" s="51"/>
      <c r="R23" s="6"/>
      <c r="S23" s="51"/>
      <c r="T23" s="51"/>
      <c r="U23" s="6"/>
      <c r="V23" s="66"/>
      <c r="W23" s="67"/>
      <c r="Z23" s="24">
        <v>18</v>
      </c>
      <c r="AA23" s="104" t="s">
        <v>21</v>
      </c>
      <c r="AB23" s="105"/>
      <c r="AC23" s="47"/>
      <c r="AD23" s="48"/>
    </row>
    <row r="24" spans="1:30" ht="21" customHeight="1" x14ac:dyDescent="0.3">
      <c r="Z24" s="27">
        <v>19</v>
      </c>
      <c r="AA24" s="56" t="s">
        <v>20</v>
      </c>
      <c r="AB24" s="57"/>
      <c r="AC24" s="49"/>
      <c r="AD24" s="50"/>
    </row>
    <row r="25" spans="1:30" ht="21" customHeight="1" x14ac:dyDescent="0.3">
      <c r="B25" s="37" t="s">
        <v>30</v>
      </c>
      <c r="C25" s="37"/>
      <c r="D25" s="37"/>
      <c r="E25" s="37"/>
      <c r="F25" s="37"/>
      <c r="G25" s="37"/>
      <c r="H25" s="37"/>
      <c r="I25" s="37"/>
      <c r="J25" s="37"/>
      <c r="K25" s="37"/>
      <c r="L25" s="26"/>
      <c r="P25" s="40"/>
      <c r="Q25" s="40"/>
      <c r="R25" s="40"/>
      <c r="S25" s="40"/>
      <c r="T25" s="40"/>
      <c r="U25" s="40"/>
      <c r="V25" s="40"/>
      <c r="Z25" s="24">
        <v>20</v>
      </c>
      <c r="AA25" s="35" t="s">
        <v>41</v>
      </c>
      <c r="AB25" s="35"/>
      <c r="AC25" s="31"/>
      <c r="AD25" s="32"/>
    </row>
    <row r="26" spans="1:30" ht="21.75" customHeight="1" x14ac:dyDescent="0.3">
      <c r="B26" s="39" t="s">
        <v>31</v>
      </c>
      <c r="C26" s="39"/>
      <c r="D26" s="39"/>
      <c r="E26" s="39"/>
      <c r="F26" s="39"/>
      <c r="G26" s="39"/>
      <c r="P26" s="40" t="s">
        <v>19</v>
      </c>
      <c r="Q26" s="40"/>
      <c r="R26" s="40"/>
      <c r="S26" s="40"/>
      <c r="T26" s="40"/>
      <c r="U26" s="40"/>
      <c r="V26" s="40"/>
      <c r="Z26" s="27">
        <v>21</v>
      </c>
      <c r="AA26" s="35" t="s">
        <v>41</v>
      </c>
      <c r="AB26" s="35"/>
      <c r="AC26" s="31"/>
      <c r="AD26" s="32"/>
    </row>
    <row r="27" spans="1:30" ht="21.75" customHeight="1" thickBot="1" x14ac:dyDescent="0.35">
      <c r="B27" s="38" t="s">
        <v>58</v>
      </c>
      <c r="C27" s="38"/>
      <c r="D27" s="38"/>
      <c r="E27" s="38"/>
      <c r="F27" s="38"/>
      <c r="G27" s="38"/>
      <c r="P27" s="38" t="s">
        <v>59</v>
      </c>
      <c r="Q27" s="38"/>
      <c r="R27" s="38"/>
      <c r="S27" s="38"/>
      <c r="T27" s="38"/>
      <c r="U27" s="38"/>
      <c r="V27" s="38"/>
      <c r="Z27" s="28">
        <v>22</v>
      </c>
      <c r="AA27" s="36" t="s">
        <v>41</v>
      </c>
      <c r="AB27" s="36"/>
      <c r="AC27" s="33"/>
      <c r="AD27" s="34"/>
    </row>
    <row r="28" spans="1:30" ht="21" customHeight="1" x14ac:dyDescent="0.3">
      <c r="AA28" s="98" t="s">
        <v>41</v>
      </c>
      <c r="AB28" s="98"/>
    </row>
  </sheetData>
  <mergeCells count="191">
    <mergeCell ref="AA28:AB28"/>
    <mergeCell ref="A1:W1"/>
    <mergeCell ref="A3:K3"/>
    <mergeCell ref="Q3:R3"/>
    <mergeCell ref="Z4:AD4"/>
    <mergeCell ref="A6:A7"/>
    <mergeCell ref="B6:B7"/>
    <mergeCell ref="D6:E6"/>
    <mergeCell ref="G6:H6"/>
    <mergeCell ref="J6:K6"/>
    <mergeCell ref="M6:N6"/>
    <mergeCell ref="P6:Q6"/>
    <mergeCell ref="S6:T6"/>
    <mergeCell ref="V6:W6"/>
    <mergeCell ref="AA6:AB6"/>
    <mergeCell ref="D7:E7"/>
    <mergeCell ref="G7:H7"/>
    <mergeCell ref="J7:K7"/>
    <mergeCell ref="M7:N7"/>
    <mergeCell ref="P7:Q7"/>
    <mergeCell ref="S7:T7"/>
    <mergeCell ref="V7:W7"/>
    <mergeCell ref="AA7:AB7"/>
    <mergeCell ref="Z5:AD5"/>
    <mergeCell ref="AC6:AD8"/>
    <mergeCell ref="A8:A9"/>
    <mergeCell ref="B8:B9"/>
    <mergeCell ref="D8:E8"/>
    <mergeCell ref="G8:H8"/>
    <mergeCell ref="J8:K8"/>
    <mergeCell ref="M8:N8"/>
    <mergeCell ref="P8:Q8"/>
    <mergeCell ref="S8:T8"/>
    <mergeCell ref="V8:W8"/>
    <mergeCell ref="AA8:AB8"/>
    <mergeCell ref="D9:E9"/>
    <mergeCell ref="G9:H9"/>
    <mergeCell ref="J9:K9"/>
    <mergeCell ref="M9:N9"/>
    <mergeCell ref="P9:Q9"/>
    <mergeCell ref="S9:T9"/>
    <mergeCell ref="V9:W9"/>
    <mergeCell ref="AA9:AB9"/>
    <mergeCell ref="AC9:AD10"/>
    <mergeCell ref="S10:T10"/>
    <mergeCell ref="V10:W10"/>
    <mergeCell ref="AA10:AB10"/>
    <mergeCell ref="D11:E11"/>
    <mergeCell ref="G11:H11"/>
    <mergeCell ref="J11:K11"/>
    <mergeCell ref="M11:N11"/>
    <mergeCell ref="P11:Q11"/>
    <mergeCell ref="S11:T11"/>
    <mergeCell ref="D10:E10"/>
    <mergeCell ref="G10:H10"/>
    <mergeCell ref="J10:K10"/>
    <mergeCell ref="M10:N10"/>
    <mergeCell ref="V11:W11"/>
    <mergeCell ref="AA11:AB11"/>
    <mergeCell ref="A12:A13"/>
    <mergeCell ref="B12:B13"/>
    <mergeCell ref="D12:E12"/>
    <mergeCell ref="G12:H12"/>
    <mergeCell ref="J12:K12"/>
    <mergeCell ref="M12:N12"/>
    <mergeCell ref="P12:Q12"/>
    <mergeCell ref="A10:A11"/>
    <mergeCell ref="B10:B11"/>
    <mergeCell ref="P10:Q10"/>
    <mergeCell ref="S12:T12"/>
    <mergeCell ref="V12:W12"/>
    <mergeCell ref="AA12:AB12"/>
    <mergeCell ref="D13:E13"/>
    <mergeCell ref="G13:H13"/>
    <mergeCell ref="J13:K13"/>
    <mergeCell ref="M13:N13"/>
    <mergeCell ref="P13:Q13"/>
    <mergeCell ref="S13:T13"/>
    <mergeCell ref="V13:W13"/>
    <mergeCell ref="AA13:AB13"/>
    <mergeCell ref="D15:E15"/>
    <mergeCell ref="G15:H15"/>
    <mergeCell ref="J15:K15"/>
    <mergeCell ref="M15:N15"/>
    <mergeCell ref="P15:Q15"/>
    <mergeCell ref="S15:T15"/>
    <mergeCell ref="V15:W15"/>
    <mergeCell ref="AA15:AB15"/>
    <mergeCell ref="A14:A15"/>
    <mergeCell ref="B14:B15"/>
    <mergeCell ref="D14:E14"/>
    <mergeCell ref="G14:H14"/>
    <mergeCell ref="J14:K14"/>
    <mergeCell ref="M14:N14"/>
    <mergeCell ref="P14:Q14"/>
    <mergeCell ref="S14:T14"/>
    <mergeCell ref="V14:W14"/>
    <mergeCell ref="A18:A19"/>
    <mergeCell ref="B18:B19"/>
    <mergeCell ref="D18:E18"/>
    <mergeCell ref="G18:H18"/>
    <mergeCell ref="J18:K18"/>
    <mergeCell ref="M18:N18"/>
    <mergeCell ref="P18:Q18"/>
    <mergeCell ref="S18:T18"/>
    <mergeCell ref="A16:A17"/>
    <mergeCell ref="B16:B17"/>
    <mergeCell ref="P16:Q16"/>
    <mergeCell ref="S16:T16"/>
    <mergeCell ref="D17:E17"/>
    <mergeCell ref="G17:H17"/>
    <mergeCell ref="J17:K17"/>
    <mergeCell ref="M17:N17"/>
    <mergeCell ref="P17:Q17"/>
    <mergeCell ref="S17:T17"/>
    <mergeCell ref="D16:E16"/>
    <mergeCell ref="G16:H16"/>
    <mergeCell ref="J16:K16"/>
    <mergeCell ref="M16:N16"/>
    <mergeCell ref="A22:A23"/>
    <mergeCell ref="B22:B23"/>
    <mergeCell ref="D22:E22"/>
    <mergeCell ref="G22:H22"/>
    <mergeCell ref="J22:K22"/>
    <mergeCell ref="M22:N22"/>
    <mergeCell ref="P22:Q22"/>
    <mergeCell ref="S22:T22"/>
    <mergeCell ref="P20:Q20"/>
    <mergeCell ref="S20:T20"/>
    <mergeCell ref="D21:E21"/>
    <mergeCell ref="G21:H21"/>
    <mergeCell ref="J21:K21"/>
    <mergeCell ref="M21:N21"/>
    <mergeCell ref="P21:Q21"/>
    <mergeCell ref="S21:T21"/>
    <mergeCell ref="A20:A21"/>
    <mergeCell ref="B20:B21"/>
    <mergeCell ref="D20:E20"/>
    <mergeCell ref="G20:H20"/>
    <mergeCell ref="J20:K20"/>
    <mergeCell ref="M20:N20"/>
    <mergeCell ref="AC11:AD12"/>
    <mergeCell ref="V22:W22"/>
    <mergeCell ref="AA22:AB22"/>
    <mergeCell ref="D23:E23"/>
    <mergeCell ref="G23:H23"/>
    <mergeCell ref="J23:K23"/>
    <mergeCell ref="M23:N23"/>
    <mergeCell ref="P23:Q23"/>
    <mergeCell ref="S23:T23"/>
    <mergeCell ref="V23:W23"/>
    <mergeCell ref="AA23:AB23"/>
    <mergeCell ref="V21:W21"/>
    <mergeCell ref="AA21:AB21"/>
    <mergeCell ref="V20:W20"/>
    <mergeCell ref="AA20:AB20"/>
    <mergeCell ref="V18:W18"/>
    <mergeCell ref="AA18:AB18"/>
    <mergeCell ref="D19:E19"/>
    <mergeCell ref="G19:H19"/>
    <mergeCell ref="J19:K19"/>
    <mergeCell ref="M19:N19"/>
    <mergeCell ref="P19:Q19"/>
    <mergeCell ref="S19:T19"/>
    <mergeCell ref="V19:W19"/>
    <mergeCell ref="B25:K25"/>
    <mergeCell ref="B26:G26"/>
    <mergeCell ref="B27:G27"/>
    <mergeCell ref="P27:V27"/>
    <mergeCell ref="AC23:AD23"/>
    <mergeCell ref="AC24:AD24"/>
    <mergeCell ref="AC20:AD20"/>
    <mergeCell ref="AC21:AD21"/>
    <mergeCell ref="AC22:AD22"/>
    <mergeCell ref="AA24:AB24"/>
    <mergeCell ref="P25:V25"/>
    <mergeCell ref="P26:V26"/>
    <mergeCell ref="AA27:AB27"/>
    <mergeCell ref="AC27:AD27"/>
    <mergeCell ref="AA19:AB19"/>
    <mergeCell ref="V17:W17"/>
    <mergeCell ref="AA17:AB17"/>
    <mergeCell ref="AC13:AD17"/>
    <mergeCell ref="AC18:AD19"/>
    <mergeCell ref="AA25:AB25"/>
    <mergeCell ref="AC25:AD25"/>
    <mergeCell ref="AA26:AB26"/>
    <mergeCell ref="AC26:AD26"/>
    <mergeCell ref="V16:W16"/>
    <mergeCell ref="AA16:AB16"/>
    <mergeCell ref="AA14:AB14"/>
  </mergeCells>
  <conditionalFormatting sqref="D6:T23">
    <cfRule type="cellIs" dxfId="2" priority="1" operator="equal">
      <formula>"Congedo gg. 00"</formula>
    </cfRule>
    <cfRule type="cellIs" dxfId="1" priority="2" operator="equal">
      <formula>"."</formula>
    </cfRule>
    <cfRule type="cellIs" dxfId="0" priority="3" operator="equal">
      <formula>"RIPOSO"</formula>
    </cfRule>
  </conditionalFormatting>
  <pageMargins left="0.19685039370078741" right="0.19685039370078741" top="0.19685039370078741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I^ Settimana</vt:lpstr>
      <vt:lpstr>II^ Settimana</vt:lpstr>
      <vt:lpstr>'I^ Settimana'!Area_stampa</vt:lpstr>
      <vt:lpstr>'II^ Settimana'!Area_stampa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chiara bernadette d'alia</cp:lastModifiedBy>
  <cp:lastPrinted>2024-03-25T07:44:10Z</cp:lastPrinted>
  <dcterms:created xsi:type="dcterms:W3CDTF">2024-03-11T07:39:53Z</dcterms:created>
  <dcterms:modified xsi:type="dcterms:W3CDTF">2025-11-11T15:32:33Z</dcterms:modified>
</cp:coreProperties>
</file>