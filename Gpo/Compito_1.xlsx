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hiar\Desktop\Chiavetta\Gpo\"/>
    </mc:Choice>
  </mc:AlternateContent>
  <xr:revisionPtr revIDLastSave="0" documentId="13_ncr:1_{0D7AAD7D-A0A7-4A7F-BD58-2BD8ACC19C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s. 1 (Outsourcing)" sheetId="1" r:id="rId1"/>
    <sheet name="Es. 2 (Cicli Aziendali)" sheetId="2" r:id="rId2"/>
    <sheet name="Es. 3 (Sistema Inf. Aziendale)" sheetId="3" r:id="rId3"/>
  </sheets>
  <definedNames>
    <definedName name="LTaltro">'Es. 3 (Sistema Inf. Aziendale)'!$D$20</definedName>
    <definedName name="LTamm">'Es. 3 (Sistema Inf. Aziendale)'!$D$38</definedName>
    <definedName name="LTcilindri">'Es. 3 (Sistema Inf. Aziendale)'!$D$14</definedName>
    <definedName name="LTgomme">'Es. 3 (Sistema Inf. Aziendale)'!$D$8</definedName>
    <definedName name="LTmoto">'Es. 3 (Sistema Inf. Aziendale)'!$D$5</definedName>
    <definedName name="LTmotore">'Es. 3 (Sistema Inf. Aziendale)'!$D$11</definedName>
    <definedName name="LTportacasco">'Es. 3 (Sistema Inf. Aziendale)'!$D$29</definedName>
    <definedName name="LTscocca">'Es. 3 (Sistema Inf. Aziendale)'!$D$35</definedName>
    <definedName name="LTsedile">'Es. 3 (Sistema Inf. Aziendale)'!$D$26</definedName>
    <definedName name="LTsella">'Es. 3 (Sistema Inf. Aziendale)'!$D$23</definedName>
    <definedName name="LTserbatoio">'Es. 3 (Sistema Inf. Aziendale)'!$D$41</definedName>
    <definedName name="LTtelaio">'Es. 3 (Sistema Inf. Aziendale)'!$D$32</definedName>
    <definedName name="LTvalove">'Es. 3 (Sistema Inf. Aziendale)'!$D$17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2" i="3" l="1"/>
  <c r="H42" i="3"/>
  <c r="I42" i="3"/>
  <c r="J42" i="3"/>
  <c r="K42" i="3"/>
  <c r="L42" i="3"/>
  <c r="N42" i="3"/>
  <c r="P42" i="3"/>
  <c r="Q42" i="3"/>
  <c r="R42" i="3"/>
  <c r="S42" i="3"/>
  <c r="T42" i="3"/>
  <c r="U42" i="3"/>
  <c r="O42" i="3"/>
  <c r="G39" i="3"/>
  <c r="H39" i="3"/>
  <c r="I39" i="3"/>
  <c r="J39" i="3"/>
  <c r="K39" i="3"/>
  <c r="L39" i="3"/>
  <c r="M39" i="3"/>
  <c r="P39" i="3"/>
  <c r="Q39" i="3"/>
  <c r="R39" i="3"/>
  <c r="S39" i="3"/>
  <c r="T39" i="3"/>
  <c r="U39" i="3"/>
  <c r="O39" i="3"/>
  <c r="G36" i="3"/>
  <c r="H36" i="3"/>
  <c r="I36" i="3"/>
  <c r="J36" i="3"/>
  <c r="K36" i="3"/>
  <c r="M36" i="3"/>
  <c r="N36" i="3"/>
  <c r="P36" i="3"/>
  <c r="Q36" i="3"/>
  <c r="R36" i="3"/>
  <c r="S36" i="3"/>
  <c r="T36" i="3"/>
  <c r="U36" i="3"/>
  <c r="O36" i="3"/>
  <c r="S33" i="3"/>
  <c r="T33" i="3"/>
  <c r="U33" i="3"/>
  <c r="G30" i="3"/>
  <c r="H30" i="3"/>
  <c r="I30" i="3"/>
  <c r="J30" i="3"/>
  <c r="K30" i="3"/>
  <c r="L30" i="3"/>
  <c r="M30" i="3"/>
  <c r="P30" i="3"/>
  <c r="Q30" i="3"/>
  <c r="R30" i="3"/>
  <c r="S30" i="3"/>
  <c r="T30" i="3"/>
  <c r="U30" i="3"/>
  <c r="O30" i="3"/>
  <c r="G27" i="3"/>
  <c r="H27" i="3"/>
  <c r="I27" i="3"/>
  <c r="J27" i="3"/>
  <c r="K27" i="3"/>
  <c r="L27" i="3"/>
  <c r="M27" i="3"/>
  <c r="P27" i="3"/>
  <c r="Q27" i="3"/>
  <c r="R27" i="3"/>
  <c r="S27" i="3"/>
  <c r="T27" i="3"/>
  <c r="U27" i="3"/>
  <c r="O27" i="3"/>
  <c r="S24" i="3"/>
  <c r="T24" i="3"/>
  <c r="U24" i="3"/>
  <c r="G21" i="3"/>
  <c r="H21" i="3"/>
  <c r="I21" i="3"/>
  <c r="J21" i="3"/>
  <c r="K21" i="3"/>
  <c r="L21" i="3"/>
  <c r="N21" i="3"/>
  <c r="P21" i="3"/>
  <c r="Q21" i="3"/>
  <c r="R21" i="3"/>
  <c r="S21" i="3"/>
  <c r="T21" i="3"/>
  <c r="U21" i="3"/>
  <c r="O21" i="3"/>
  <c r="G18" i="3"/>
  <c r="H18" i="3"/>
  <c r="I18" i="3"/>
  <c r="J18" i="3"/>
  <c r="K18" i="3"/>
  <c r="L18" i="3"/>
  <c r="N18" i="3"/>
  <c r="P18" i="3"/>
  <c r="Q18" i="3"/>
  <c r="R18" i="3"/>
  <c r="S18" i="3"/>
  <c r="T18" i="3"/>
  <c r="U18" i="3"/>
  <c r="O18" i="3"/>
  <c r="G15" i="3"/>
  <c r="H15" i="3"/>
  <c r="I15" i="3"/>
  <c r="J15" i="3"/>
  <c r="K15" i="3"/>
  <c r="L15" i="3"/>
  <c r="N15" i="3"/>
  <c r="P15" i="3"/>
  <c r="Q15" i="3"/>
  <c r="R15" i="3"/>
  <c r="S15" i="3"/>
  <c r="T15" i="3"/>
  <c r="U15" i="3"/>
  <c r="O15" i="3"/>
  <c r="S12" i="3"/>
  <c r="T12" i="3"/>
  <c r="U12" i="3"/>
  <c r="R8" i="3"/>
  <c r="S9" i="3"/>
  <c r="T9" i="3"/>
  <c r="U9" i="3"/>
  <c r="G6" i="3"/>
  <c r="H6" i="3"/>
  <c r="I6" i="3"/>
  <c r="J6" i="3"/>
  <c r="G9" i="3" s="1"/>
  <c r="K6" i="3"/>
  <c r="H9" i="3" s="1"/>
  <c r="L6" i="3"/>
  <c r="I9" i="3" s="1"/>
  <c r="M6" i="3"/>
  <c r="J9" i="3" s="1"/>
  <c r="N6" i="3"/>
  <c r="K9" i="3" s="1"/>
  <c r="O6" i="3"/>
  <c r="L9" i="3" s="1"/>
  <c r="P6" i="3"/>
  <c r="M9" i="3" s="1"/>
  <c r="Q6" i="3"/>
  <c r="N9" i="3" s="1"/>
  <c r="R6" i="3"/>
  <c r="R11" i="3" s="1"/>
  <c r="S6" i="3"/>
  <c r="P9" i="3" s="1"/>
  <c r="T6" i="3"/>
  <c r="Q9" i="3" s="1"/>
  <c r="U6" i="3"/>
  <c r="R9" i="3" s="1"/>
  <c r="D8" i="2"/>
  <c r="B4" i="2"/>
  <c r="B5" i="2" s="1"/>
  <c r="F5" i="2" s="1"/>
  <c r="J5" i="2" s="1"/>
  <c r="F8" i="2" s="1"/>
  <c r="G26" i="1"/>
  <c r="G25" i="1"/>
  <c r="E34" i="1" s="1"/>
  <c r="G21" i="1"/>
  <c r="G20" i="1"/>
  <c r="G22" i="1" s="1"/>
  <c r="G27" i="1" l="1"/>
  <c r="E32" i="1" s="1"/>
  <c r="G32" i="1" s="1"/>
  <c r="J4" i="2"/>
  <c r="P33" i="3"/>
  <c r="L33" i="3"/>
  <c r="H33" i="3"/>
  <c r="N33" i="3"/>
  <c r="J33" i="3"/>
  <c r="Q33" i="3"/>
  <c r="M33" i="3"/>
  <c r="I33" i="3"/>
  <c r="O33" i="3"/>
  <c r="K33" i="3"/>
  <c r="G33" i="3"/>
  <c r="R33" i="3"/>
  <c r="R32" i="3"/>
  <c r="K24" i="3"/>
  <c r="H24" i="3"/>
  <c r="O24" i="3"/>
  <c r="G24" i="3"/>
  <c r="P24" i="3"/>
  <c r="L24" i="3"/>
  <c r="N24" i="3"/>
  <c r="J24" i="3"/>
  <c r="Q24" i="3"/>
  <c r="M24" i="3"/>
  <c r="I24" i="3"/>
  <c r="R24" i="3"/>
  <c r="R23" i="3"/>
  <c r="P12" i="3"/>
  <c r="H12" i="3"/>
  <c r="O12" i="3"/>
  <c r="G12" i="3"/>
  <c r="L12" i="3"/>
  <c r="K12" i="3"/>
  <c r="N12" i="3"/>
  <c r="J12" i="3"/>
  <c r="R12" i="3"/>
  <c r="Q12" i="3"/>
  <c r="M12" i="3"/>
  <c r="I12" i="3"/>
  <c r="O9" i="3"/>
  <c r="O35" i="3" l="1"/>
  <c r="L36" i="3" s="1"/>
  <c r="O38" i="3"/>
  <c r="O26" i="3"/>
  <c r="N27" i="3" s="1"/>
  <c r="O29" i="3"/>
  <c r="N30" i="3" s="1"/>
  <c r="O17" i="3"/>
  <c r="M18" i="3" s="1"/>
  <c r="O20" i="3"/>
  <c r="M21" i="3" s="1"/>
  <c r="O14" i="3"/>
  <c r="M15" i="3" s="1"/>
  <c r="N39" i="3" l="1"/>
  <c r="O41" i="3"/>
  <c r="M42" i="3" s="1"/>
</calcChain>
</file>

<file path=xl/sharedStrings.xml><?xml version="1.0" encoding="utf-8"?>
<sst xmlns="http://schemas.openxmlformats.org/spreadsheetml/2006/main" count="120" uniqueCount="51">
  <si>
    <t>Domanda</t>
  </si>
  <si>
    <t>Produzione</t>
  </si>
  <si>
    <t>(Make)</t>
  </si>
  <si>
    <t>Acquisto</t>
  </si>
  <si>
    <t>(Buy)</t>
  </si>
  <si>
    <t>Costo per produrre</t>
  </si>
  <si>
    <t>Costo per acquistare</t>
  </si>
  <si>
    <t>Bilancio</t>
  </si>
  <si>
    <t>Punto di pareggio</t>
  </si>
  <si>
    <t>Progettazione</t>
  </si>
  <si>
    <t>Manodopera</t>
  </si>
  <si>
    <t>Materie prime</t>
  </si>
  <si>
    <t>Energia</t>
  </si>
  <si>
    <t>x unità</t>
  </si>
  <si>
    <t>unità</t>
  </si>
  <si>
    <t>Costo fisso</t>
  </si>
  <si>
    <t>Totale</t>
  </si>
  <si>
    <t>Costo variabile</t>
  </si>
  <si>
    <t>Macchinari Produzione</t>
  </si>
  <si>
    <t>Affitto Capannone</t>
  </si>
  <si>
    <t>Costo Pubblicitario</t>
  </si>
  <si>
    <t>Direttore Stab. Produzione</t>
  </si>
  <si>
    <t>Costo Amministrativo</t>
  </si>
  <si>
    <t>Prodotto Fornito</t>
  </si>
  <si>
    <t>Ciclo tecnico-produttivo</t>
  </si>
  <si>
    <t>Durata</t>
  </si>
  <si>
    <t>Ciclo economico</t>
  </si>
  <si>
    <t>Ciclo finanziario</t>
  </si>
  <si>
    <t>Durata complessiva</t>
  </si>
  <si>
    <t>-</t>
  </si>
  <si>
    <t>FT=</t>
  </si>
  <si>
    <t xml:space="preserve">in </t>
  </si>
  <si>
    <t>gg</t>
  </si>
  <si>
    <t>Qu</t>
  </si>
  <si>
    <t>LT</t>
  </si>
  <si>
    <t>Periodi</t>
  </si>
  <si>
    <t>F</t>
  </si>
  <si>
    <t>O</t>
  </si>
  <si>
    <t>Moto</t>
  </si>
  <si>
    <t>Motore</t>
  </si>
  <si>
    <t>Sella</t>
  </si>
  <si>
    <t>Telaio</t>
  </si>
  <si>
    <t>Gomme</t>
  </si>
  <si>
    <t>Cilindri</t>
  </si>
  <si>
    <t>Valvole</t>
  </si>
  <si>
    <t>Altro Mot.</t>
  </si>
  <si>
    <t>Sedile</t>
  </si>
  <si>
    <t>Portacasco</t>
  </si>
  <si>
    <t>Scocca</t>
  </si>
  <si>
    <t>Ammortizzatori</t>
  </si>
  <si>
    <t>Serbatoio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</si>
</sst>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717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1" xfId="0" applyFill="1" applyBorder="1"/>
    <xf numFmtId="164" fontId="0" fillId="2" borderId="1" xfId="0" applyNumberFormat="1" applyFill="1" applyBorder="1"/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4" borderId="2" xfId="0" applyFill="1" applyBorder="1"/>
    <xf numFmtId="0" fontId="0" fillId="4" borderId="3" xfId="0" applyFill="1" applyBorder="1"/>
    <xf numFmtId="0" fontId="0" fillId="4" borderId="4" xfId="0" applyFill="1" applyBorder="1"/>
    <xf numFmtId="0" fontId="0" fillId="5" borderId="2" xfId="0" applyFill="1" applyBorder="1"/>
    <xf numFmtId="0" fontId="0" fillId="5" borderId="3" xfId="0" applyFill="1" applyBorder="1"/>
    <xf numFmtId="0" fontId="0" fillId="5" borderId="4" xfId="0" applyFill="1" applyBorder="1"/>
    <xf numFmtId="0" fontId="0" fillId="0" borderId="0" xfId="0" applyAlignment="1">
      <alignment horizontal="right"/>
    </xf>
    <xf numFmtId="16" fontId="0" fillId="0" borderId="1" xfId="0" applyNumberFormat="1" applyBorder="1"/>
    <xf numFmtId="0" fontId="0" fillId="0" borderId="1" xfId="0" applyBorder="1"/>
    <xf numFmtId="0" fontId="0" fillId="0" borderId="1" xfId="0" applyBorder="1" applyAlignment="1">
      <alignment horizontal="right"/>
    </xf>
    <xf numFmtId="16" fontId="0" fillId="0" borderId="1" xfId="0" applyNumberFormat="1" applyBorder="1" applyAlignment="1">
      <alignment horizontal="right"/>
    </xf>
    <xf numFmtId="0" fontId="0" fillId="0" borderId="10" xfId="0" applyBorder="1"/>
    <xf numFmtId="0" fontId="0" fillId="0" borderId="11" xfId="0" applyBorder="1"/>
    <xf numFmtId="16" fontId="0" fillId="0" borderId="11" xfId="0" applyNumberFormat="1" applyBorder="1"/>
    <xf numFmtId="0" fontId="0" fillId="0" borderId="11" xfId="0" applyBorder="1" applyAlignment="1">
      <alignment horizontal="center"/>
    </xf>
    <xf numFmtId="16" fontId="0" fillId="0" borderId="12" xfId="0" applyNumberFormat="1" applyBorder="1"/>
    <xf numFmtId="0" fontId="0" fillId="0" borderId="12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64" fontId="0" fillId="0" borderId="12" xfId="0" applyNumberFormat="1" applyBorder="1"/>
    <xf numFmtId="0" fontId="0" fillId="6" borderId="1" xfId="0" applyFill="1" applyBorder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FF71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0B56B73D-29A0-4318-A96A-1669BFB22D6C}" type="doc">
      <dgm:prSet loTypeId="urn:microsoft.com/office/officeart/2005/8/layout/orgChart1" loCatId="hierarchy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it-IT"/>
        </a:p>
      </dgm:t>
    </dgm:pt>
    <dgm:pt modelId="{6D9C566B-BE47-4B7D-A966-37201FE4E814}">
      <dgm:prSet phldrT="[Testo]"/>
      <dgm:spPr/>
      <dgm:t>
        <a:bodyPr/>
        <a:lstStyle/>
        <a:p>
          <a:r>
            <a:rPr lang="it-IT"/>
            <a:t>Moto</a:t>
          </a:r>
        </a:p>
        <a:p>
          <a:r>
            <a:rPr lang="it-IT"/>
            <a:t>Qu=1</a:t>
          </a:r>
        </a:p>
        <a:p>
          <a:r>
            <a:rPr lang="it-IT"/>
            <a:t>LT=3</a:t>
          </a:r>
        </a:p>
      </dgm:t>
    </dgm:pt>
    <dgm:pt modelId="{58F17193-E70E-4457-8479-8561B7C6C844}" type="parTrans" cxnId="{F0A633C8-7156-4179-AB1F-0A7B4E12D37D}">
      <dgm:prSet/>
      <dgm:spPr/>
      <dgm:t>
        <a:bodyPr/>
        <a:lstStyle/>
        <a:p>
          <a:endParaRPr lang="it-IT"/>
        </a:p>
      </dgm:t>
    </dgm:pt>
    <dgm:pt modelId="{C8538DF4-0248-4B6C-909B-7FC373755040}" type="sibTrans" cxnId="{F0A633C8-7156-4179-AB1F-0A7B4E12D37D}">
      <dgm:prSet/>
      <dgm:spPr/>
      <dgm:t>
        <a:bodyPr/>
        <a:lstStyle/>
        <a:p>
          <a:endParaRPr lang="it-IT"/>
        </a:p>
      </dgm:t>
    </dgm:pt>
    <dgm:pt modelId="{2E4E8377-E396-4AB8-98EF-8AC980781325}">
      <dgm:prSet phldrT="[Testo]"/>
      <dgm:spPr/>
      <dgm:t>
        <a:bodyPr/>
        <a:lstStyle/>
        <a:p>
          <a:r>
            <a:rPr lang="it-IT"/>
            <a:t>Gomme</a:t>
          </a:r>
        </a:p>
        <a:p>
          <a:r>
            <a:rPr lang="it-IT"/>
            <a:t>Qu=2</a:t>
          </a:r>
        </a:p>
        <a:p>
          <a:r>
            <a:rPr lang="it-IT"/>
            <a:t>LT=1</a:t>
          </a:r>
        </a:p>
      </dgm:t>
    </dgm:pt>
    <dgm:pt modelId="{2E249F5B-CE4F-4B8D-B213-25CF2E43597D}" type="parTrans" cxnId="{1E7E989F-5ECF-4430-9B24-DAEA2DFBEB01}">
      <dgm:prSet/>
      <dgm:spPr/>
      <dgm:t>
        <a:bodyPr/>
        <a:lstStyle/>
        <a:p>
          <a:endParaRPr lang="it-IT"/>
        </a:p>
      </dgm:t>
    </dgm:pt>
    <dgm:pt modelId="{1AFED39C-1D3F-462A-A147-DE49E1AF700A}" type="sibTrans" cxnId="{1E7E989F-5ECF-4430-9B24-DAEA2DFBEB01}">
      <dgm:prSet/>
      <dgm:spPr/>
      <dgm:t>
        <a:bodyPr/>
        <a:lstStyle/>
        <a:p>
          <a:endParaRPr lang="it-IT"/>
        </a:p>
      </dgm:t>
    </dgm:pt>
    <dgm:pt modelId="{8A1C85B8-4DF9-4EA4-A520-B8806BDE2988}">
      <dgm:prSet phldrT="[Testo]"/>
      <dgm:spPr/>
      <dgm:t>
        <a:bodyPr/>
        <a:lstStyle/>
        <a:p>
          <a:r>
            <a:rPr lang="it-IT"/>
            <a:t>Motore</a:t>
          </a:r>
        </a:p>
        <a:p>
          <a:r>
            <a:rPr lang="it-IT"/>
            <a:t>Qu=1</a:t>
          </a:r>
        </a:p>
        <a:p>
          <a:r>
            <a:rPr lang="it-IT"/>
            <a:t>LT=4</a:t>
          </a:r>
        </a:p>
      </dgm:t>
    </dgm:pt>
    <dgm:pt modelId="{5C467A63-108D-4C7C-BDC6-657DD0BF8415}" type="parTrans" cxnId="{629E3B42-AFB9-4A17-9470-74F464197A51}">
      <dgm:prSet/>
      <dgm:spPr/>
      <dgm:t>
        <a:bodyPr/>
        <a:lstStyle/>
        <a:p>
          <a:endParaRPr lang="it-IT"/>
        </a:p>
      </dgm:t>
    </dgm:pt>
    <dgm:pt modelId="{DF89B47C-2151-4389-AE63-9EB9D47EAD09}" type="sibTrans" cxnId="{629E3B42-AFB9-4A17-9470-74F464197A51}">
      <dgm:prSet/>
      <dgm:spPr/>
      <dgm:t>
        <a:bodyPr/>
        <a:lstStyle/>
        <a:p>
          <a:endParaRPr lang="it-IT"/>
        </a:p>
      </dgm:t>
    </dgm:pt>
    <dgm:pt modelId="{573B2E06-4D28-4BBF-897F-C151AB8A2973}">
      <dgm:prSet phldrT="[Testo]"/>
      <dgm:spPr/>
      <dgm:t>
        <a:bodyPr/>
        <a:lstStyle/>
        <a:p>
          <a:r>
            <a:rPr lang="it-IT"/>
            <a:t>Sella</a:t>
          </a:r>
        </a:p>
        <a:p>
          <a:r>
            <a:rPr lang="it-IT"/>
            <a:t>Qu=1</a:t>
          </a:r>
        </a:p>
        <a:p>
          <a:r>
            <a:rPr lang="it-IT"/>
            <a:t>LT=2</a:t>
          </a:r>
        </a:p>
      </dgm:t>
    </dgm:pt>
    <dgm:pt modelId="{08E92CDA-95EF-49B6-99F8-3482B7C1CF92}" type="parTrans" cxnId="{6CA73EEA-427E-4E45-8F42-5B215E5074D5}">
      <dgm:prSet/>
      <dgm:spPr/>
      <dgm:t>
        <a:bodyPr/>
        <a:lstStyle/>
        <a:p>
          <a:endParaRPr lang="it-IT"/>
        </a:p>
      </dgm:t>
    </dgm:pt>
    <dgm:pt modelId="{3FE9D825-8BDB-44D0-85F1-72B4E26CBF3B}" type="sibTrans" cxnId="{6CA73EEA-427E-4E45-8F42-5B215E5074D5}">
      <dgm:prSet/>
      <dgm:spPr/>
      <dgm:t>
        <a:bodyPr/>
        <a:lstStyle/>
        <a:p>
          <a:endParaRPr lang="it-IT"/>
        </a:p>
      </dgm:t>
    </dgm:pt>
    <dgm:pt modelId="{A26CBB9A-3980-4C47-97B0-1697CE0E6BAD}">
      <dgm:prSet/>
      <dgm:spPr/>
      <dgm:t>
        <a:bodyPr/>
        <a:lstStyle/>
        <a:p>
          <a:r>
            <a:rPr lang="it-IT"/>
            <a:t>Telaio</a:t>
          </a:r>
        </a:p>
        <a:p>
          <a:r>
            <a:rPr lang="it-IT"/>
            <a:t>Qu=1</a:t>
          </a:r>
        </a:p>
        <a:p>
          <a:r>
            <a:rPr lang="it-IT"/>
            <a:t>LT=3</a:t>
          </a:r>
        </a:p>
      </dgm:t>
    </dgm:pt>
    <dgm:pt modelId="{72A4DEB6-2B11-48AE-8ADD-7FDB2355913E}" type="parTrans" cxnId="{637E4612-7EFA-4123-AD1A-FA368DBDCE03}">
      <dgm:prSet/>
      <dgm:spPr/>
      <dgm:t>
        <a:bodyPr/>
        <a:lstStyle/>
        <a:p>
          <a:endParaRPr lang="it-IT"/>
        </a:p>
      </dgm:t>
    </dgm:pt>
    <dgm:pt modelId="{15B2B8C7-0BB7-4E43-B1A7-261D18B1AB1E}" type="sibTrans" cxnId="{637E4612-7EFA-4123-AD1A-FA368DBDCE03}">
      <dgm:prSet/>
      <dgm:spPr/>
      <dgm:t>
        <a:bodyPr/>
        <a:lstStyle/>
        <a:p>
          <a:endParaRPr lang="it-IT"/>
        </a:p>
      </dgm:t>
    </dgm:pt>
    <dgm:pt modelId="{152E0A2E-C3A6-4D1F-AE62-634F4531F35F}">
      <dgm:prSet/>
      <dgm:spPr/>
      <dgm:t>
        <a:bodyPr/>
        <a:lstStyle/>
        <a:p>
          <a:r>
            <a:rPr lang="it-IT"/>
            <a:t>Cilindrata</a:t>
          </a:r>
        </a:p>
        <a:p>
          <a:r>
            <a:rPr lang="it-IT"/>
            <a:t>Qu=4</a:t>
          </a:r>
        </a:p>
        <a:p>
          <a:r>
            <a:rPr lang="it-IT"/>
            <a:t>LT=2</a:t>
          </a:r>
        </a:p>
      </dgm:t>
    </dgm:pt>
    <dgm:pt modelId="{CDA28FB1-3004-490D-BF0B-B37741F121E8}" type="parTrans" cxnId="{54AF2B26-0523-4CE8-B521-A8F118FC2DAB}">
      <dgm:prSet/>
      <dgm:spPr/>
      <dgm:t>
        <a:bodyPr/>
        <a:lstStyle/>
        <a:p>
          <a:endParaRPr lang="it-IT"/>
        </a:p>
      </dgm:t>
    </dgm:pt>
    <dgm:pt modelId="{1B8A9496-CAB5-4DC3-B89E-287449E065FC}" type="sibTrans" cxnId="{54AF2B26-0523-4CE8-B521-A8F118FC2DAB}">
      <dgm:prSet/>
      <dgm:spPr/>
      <dgm:t>
        <a:bodyPr/>
        <a:lstStyle/>
        <a:p>
          <a:endParaRPr lang="it-IT"/>
        </a:p>
      </dgm:t>
    </dgm:pt>
    <dgm:pt modelId="{F4A91D72-7EDC-45FF-9379-25A9DB23A02C}">
      <dgm:prSet/>
      <dgm:spPr/>
      <dgm:t>
        <a:bodyPr/>
        <a:lstStyle/>
        <a:p>
          <a:r>
            <a:rPr lang="it-IT"/>
            <a:t>Valvole</a:t>
          </a:r>
        </a:p>
        <a:p>
          <a:r>
            <a:rPr lang="it-IT"/>
            <a:t>Qu=16</a:t>
          </a:r>
        </a:p>
        <a:p>
          <a:r>
            <a:rPr lang="it-IT"/>
            <a:t>LT=2</a:t>
          </a:r>
        </a:p>
      </dgm:t>
    </dgm:pt>
    <dgm:pt modelId="{B39588A0-9432-4ADF-94EB-87F9E7A820FD}" type="parTrans" cxnId="{243269D1-C5B1-4F38-9C64-5B2E27C23238}">
      <dgm:prSet/>
      <dgm:spPr/>
      <dgm:t>
        <a:bodyPr/>
        <a:lstStyle/>
        <a:p>
          <a:endParaRPr lang="it-IT"/>
        </a:p>
      </dgm:t>
    </dgm:pt>
    <dgm:pt modelId="{D3D859C7-3288-474D-8C9B-6674B614D415}" type="sibTrans" cxnId="{243269D1-C5B1-4F38-9C64-5B2E27C23238}">
      <dgm:prSet/>
      <dgm:spPr/>
      <dgm:t>
        <a:bodyPr/>
        <a:lstStyle/>
        <a:p>
          <a:endParaRPr lang="it-IT"/>
        </a:p>
      </dgm:t>
    </dgm:pt>
    <dgm:pt modelId="{F2413071-443C-4F12-8387-A83F2FBC1808}">
      <dgm:prSet/>
      <dgm:spPr/>
      <dgm:t>
        <a:bodyPr/>
        <a:lstStyle/>
        <a:p>
          <a:r>
            <a:rPr lang="it-IT"/>
            <a:t>Altro</a:t>
          </a:r>
        </a:p>
        <a:p>
          <a:r>
            <a:rPr lang="it-IT"/>
            <a:t>Qu=</a:t>
          </a:r>
        </a:p>
        <a:p>
          <a:r>
            <a:rPr lang="it-IT"/>
            <a:t>LT=2</a:t>
          </a:r>
        </a:p>
      </dgm:t>
    </dgm:pt>
    <dgm:pt modelId="{EA1DF5BC-1C2D-46AB-B214-A5E21FABAE71}" type="parTrans" cxnId="{B3E4BB1E-0673-4D85-9BD9-C4681BB6D67F}">
      <dgm:prSet/>
      <dgm:spPr/>
      <dgm:t>
        <a:bodyPr/>
        <a:lstStyle/>
        <a:p>
          <a:endParaRPr lang="it-IT"/>
        </a:p>
      </dgm:t>
    </dgm:pt>
    <dgm:pt modelId="{363A84E7-8429-42B3-ABF8-8F3813E17255}" type="sibTrans" cxnId="{B3E4BB1E-0673-4D85-9BD9-C4681BB6D67F}">
      <dgm:prSet/>
      <dgm:spPr/>
      <dgm:t>
        <a:bodyPr/>
        <a:lstStyle/>
        <a:p>
          <a:endParaRPr lang="it-IT"/>
        </a:p>
      </dgm:t>
    </dgm:pt>
    <dgm:pt modelId="{860DC3B8-93EA-4C0D-AD60-3F6F70D6D320}">
      <dgm:prSet/>
      <dgm:spPr/>
      <dgm:t>
        <a:bodyPr/>
        <a:lstStyle/>
        <a:p>
          <a:r>
            <a:rPr lang="it-IT"/>
            <a:t>Sedile</a:t>
          </a:r>
        </a:p>
        <a:p>
          <a:r>
            <a:rPr lang="it-IT"/>
            <a:t>Qu=1</a:t>
          </a:r>
        </a:p>
        <a:p>
          <a:r>
            <a:rPr lang="it-IT"/>
            <a:t>LT=1</a:t>
          </a:r>
        </a:p>
      </dgm:t>
    </dgm:pt>
    <dgm:pt modelId="{953A6A61-4741-4424-97DB-207D81EE0760}" type="parTrans" cxnId="{ADD220CD-4C17-4569-BF0F-67984E410478}">
      <dgm:prSet/>
      <dgm:spPr/>
      <dgm:t>
        <a:bodyPr/>
        <a:lstStyle/>
        <a:p>
          <a:endParaRPr lang="it-IT"/>
        </a:p>
      </dgm:t>
    </dgm:pt>
    <dgm:pt modelId="{395B3C3D-A82F-4FF2-A8C2-68F66330018C}" type="sibTrans" cxnId="{ADD220CD-4C17-4569-BF0F-67984E410478}">
      <dgm:prSet/>
      <dgm:spPr/>
      <dgm:t>
        <a:bodyPr/>
        <a:lstStyle/>
        <a:p>
          <a:endParaRPr lang="it-IT"/>
        </a:p>
      </dgm:t>
    </dgm:pt>
    <dgm:pt modelId="{B80FB14D-2EB3-4FC1-9357-FFE5F5F119F8}">
      <dgm:prSet/>
      <dgm:spPr/>
      <dgm:t>
        <a:bodyPr/>
        <a:lstStyle/>
        <a:p>
          <a:r>
            <a:rPr lang="it-IT"/>
            <a:t>Portacasco</a:t>
          </a:r>
        </a:p>
        <a:p>
          <a:r>
            <a:rPr lang="it-IT"/>
            <a:t>Qu=1</a:t>
          </a:r>
        </a:p>
        <a:p>
          <a:r>
            <a:rPr lang="it-IT"/>
            <a:t>LT=1</a:t>
          </a:r>
        </a:p>
      </dgm:t>
    </dgm:pt>
    <dgm:pt modelId="{190A4C6F-162E-41B0-B429-2B9775D6FB8E}" type="parTrans" cxnId="{AD278CAD-D5C1-4BFA-A380-678856D1B9FB}">
      <dgm:prSet/>
      <dgm:spPr/>
      <dgm:t>
        <a:bodyPr/>
        <a:lstStyle/>
        <a:p>
          <a:endParaRPr lang="it-IT"/>
        </a:p>
      </dgm:t>
    </dgm:pt>
    <dgm:pt modelId="{6A116FEC-E2B9-400B-A0FA-E9CB8CC026D1}" type="sibTrans" cxnId="{AD278CAD-D5C1-4BFA-A380-678856D1B9FB}">
      <dgm:prSet/>
      <dgm:spPr/>
      <dgm:t>
        <a:bodyPr/>
        <a:lstStyle/>
        <a:p>
          <a:endParaRPr lang="it-IT"/>
        </a:p>
      </dgm:t>
    </dgm:pt>
    <dgm:pt modelId="{47E1F3DD-81FD-4E1B-B093-2213C448DC7C}">
      <dgm:prSet/>
      <dgm:spPr/>
      <dgm:t>
        <a:bodyPr/>
        <a:lstStyle/>
        <a:p>
          <a:r>
            <a:rPr lang="it-IT"/>
            <a:t>Scocca</a:t>
          </a:r>
        </a:p>
        <a:p>
          <a:r>
            <a:rPr lang="it-IT"/>
            <a:t>Qu=1</a:t>
          </a:r>
        </a:p>
        <a:p>
          <a:r>
            <a:rPr lang="it-IT"/>
            <a:t>LT=3</a:t>
          </a:r>
        </a:p>
      </dgm:t>
    </dgm:pt>
    <dgm:pt modelId="{BE2B747D-F52A-4499-AC2A-28695F8D3AA1}" type="parTrans" cxnId="{89F8CF6A-4A63-466B-872F-D546FF5B41FF}">
      <dgm:prSet/>
      <dgm:spPr/>
      <dgm:t>
        <a:bodyPr/>
        <a:lstStyle/>
        <a:p>
          <a:endParaRPr lang="it-IT"/>
        </a:p>
      </dgm:t>
    </dgm:pt>
    <dgm:pt modelId="{8D6F6F12-77C0-4395-B900-C3DF5B232410}" type="sibTrans" cxnId="{89F8CF6A-4A63-466B-872F-D546FF5B41FF}">
      <dgm:prSet/>
      <dgm:spPr/>
      <dgm:t>
        <a:bodyPr/>
        <a:lstStyle/>
        <a:p>
          <a:endParaRPr lang="it-IT"/>
        </a:p>
      </dgm:t>
    </dgm:pt>
    <dgm:pt modelId="{BA46E226-EDAE-4ED2-8F75-6DB8213AD6AE}">
      <dgm:prSet/>
      <dgm:spPr/>
      <dgm:t>
        <a:bodyPr/>
        <a:lstStyle/>
        <a:p>
          <a:r>
            <a:rPr lang="it-IT"/>
            <a:t>Ammortizzatori</a:t>
          </a:r>
        </a:p>
        <a:p>
          <a:r>
            <a:rPr lang="it-IT"/>
            <a:t>Qu=1</a:t>
          </a:r>
        </a:p>
        <a:p>
          <a:r>
            <a:rPr lang="it-IT"/>
            <a:t>LT=1</a:t>
          </a:r>
        </a:p>
      </dgm:t>
    </dgm:pt>
    <dgm:pt modelId="{9F0E6D7B-97EF-41A8-9B03-43A9A9A049DF}" type="parTrans" cxnId="{20D99051-9799-4A53-B195-3A3F33064BEE}">
      <dgm:prSet/>
      <dgm:spPr/>
      <dgm:t>
        <a:bodyPr/>
        <a:lstStyle/>
        <a:p>
          <a:endParaRPr lang="it-IT"/>
        </a:p>
      </dgm:t>
    </dgm:pt>
    <dgm:pt modelId="{4AD4406C-80D0-4AF5-AE6C-D0ABB199D123}" type="sibTrans" cxnId="{20D99051-9799-4A53-B195-3A3F33064BEE}">
      <dgm:prSet/>
      <dgm:spPr/>
      <dgm:t>
        <a:bodyPr/>
        <a:lstStyle/>
        <a:p>
          <a:endParaRPr lang="it-IT"/>
        </a:p>
      </dgm:t>
    </dgm:pt>
    <dgm:pt modelId="{668C88FF-8F93-4E41-9E00-319DE4BEFB8D}">
      <dgm:prSet/>
      <dgm:spPr/>
      <dgm:t>
        <a:bodyPr/>
        <a:lstStyle/>
        <a:p>
          <a:r>
            <a:rPr lang="it-IT"/>
            <a:t>Serbatoio</a:t>
          </a:r>
        </a:p>
        <a:p>
          <a:r>
            <a:rPr lang="it-IT"/>
            <a:t>Qu=1</a:t>
          </a:r>
        </a:p>
        <a:p>
          <a:r>
            <a:rPr lang="it-IT"/>
            <a:t>LT=2</a:t>
          </a:r>
        </a:p>
      </dgm:t>
    </dgm:pt>
    <dgm:pt modelId="{D6CB3223-D03D-489C-941F-1E0714292429}" type="parTrans" cxnId="{9B4634AD-7777-4648-9243-9DEC0B9A88E4}">
      <dgm:prSet/>
      <dgm:spPr/>
      <dgm:t>
        <a:bodyPr/>
        <a:lstStyle/>
        <a:p>
          <a:endParaRPr lang="it-IT"/>
        </a:p>
      </dgm:t>
    </dgm:pt>
    <dgm:pt modelId="{7C4EDF9C-207A-4EB1-9E5F-2065240EAAED}" type="sibTrans" cxnId="{9B4634AD-7777-4648-9243-9DEC0B9A88E4}">
      <dgm:prSet/>
      <dgm:spPr/>
      <dgm:t>
        <a:bodyPr/>
        <a:lstStyle/>
        <a:p>
          <a:endParaRPr lang="it-IT"/>
        </a:p>
      </dgm:t>
    </dgm:pt>
    <dgm:pt modelId="{3E4EA48A-C820-4A26-B313-BD179A9E0E78}" type="pres">
      <dgm:prSet presAssocID="{0B56B73D-29A0-4318-A96A-1669BFB22D6C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14C3AF09-461C-4A70-9A39-03560F65975E}" type="pres">
      <dgm:prSet presAssocID="{6D9C566B-BE47-4B7D-A966-37201FE4E814}" presName="hierRoot1" presStyleCnt="0">
        <dgm:presLayoutVars>
          <dgm:hierBranch val="init"/>
        </dgm:presLayoutVars>
      </dgm:prSet>
      <dgm:spPr/>
    </dgm:pt>
    <dgm:pt modelId="{948EE833-BE74-4E74-A3CB-2333CFDB412D}" type="pres">
      <dgm:prSet presAssocID="{6D9C566B-BE47-4B7D-A966-37201FE4E814}" presName="rootComposite1" presStyleCnt="0"/>
      <dgm:spPr/>
    </dgm:pt>
    <dgm:pt modelId="{3D165F57-086A-42F4-87BD-6215BE70A14D}" type="pres">
      <dgm:prSet presAssocID="{6D9C566B-BE47-4B7D-A966-37201FE4E814}" presName="rootText1" presStyleLbl="node0" presStyleIdx="0" presStyleCnt="1">
        <dgm:presLayoutVars>
          <dgm:chPref val="3"/>
        </dgm:presLayoutVars>
      </dgm:prSet>
      <dgm:spPr/>
    </dgm:pt>
    <dgm:pt modelId="{EC0D6932-E2DC-4110-B935-0513BE19F70B}" type="pres">
      <dgm:prSet presAssocID="{6D9C566B-BE47-4B7D-A966-37201FE4E814}" presName="rootConnector1" presStyleLbl="node1" presStyleIdx="0" presStyleCnt="0"/>
      <dgm:spPr/>
    </dgm:pt>
    <dgm:pt modelId="{96AA4CBD-72D6-4351-ABB2-9D31A80BB34E}" type="pres">
      <dgm:prSet presAssocID="{6D9C566B-BE47-4B7D-A966-37201FE4E814}" presName="hierChild2" presStyleCnt="0"/>
      <dgm:spPr/>
    </dgm:pt>
    <dgm:pt modelId="{2073275C-6EA1-4F92-B6FB-B20E277A12E7}" type="pres">
      <dgm:prSet presAssocID="{2E249F5B-CE4F-4B8D-B213-25CF2E43597D}" presName="Name37" presStyleLbl="parChTrans1D2" presStyleIdx="0" presStyleCnt="4"/>
      <dgm:spPr/>
    </dgm:pt>
    <dgm:pt modelId="{48050546-2907-4D24-98EF-50173A03C971}" type="pres">
      <dgm:prSet presAssocID="{2E4E8377-E396-4AB8-98EF-8AC980781325}" presName="hierRoot2" presStyleCnt="0">
        <dgm:presLayoutVars>
          <dgm:hierBranch val="init"/>
        </dgm:presLayoutVars>
      </dgm:prSet>
      <dgm:spPr/>
    </dgm:pt>
    <dgm:pt modelId="{2E185D1C-C3D2-4831-94FB-D8CD6B914AB0}" type="pres">
      <dgm:prSet presAssocID="{2E4E8377-E396-4AB8-98EF-8AC980781325}" presName="rootComposite" presStyleCnt="0"/>
      <dgm:spPr/>
    </dgm:pt>
    <dgm:pt modelId="{7F61029E-C62B-407F-81AA-282DBDBC6278}" type="pres">
      <dgm:prSet presAssocID="{2E4E8377-E396-4AB8-98EF-8AC980781325}" presName="rootText" presStyleLbl="node2" presStyleIdx="0" presStyleCnt="4">
        <dgm:presLayoutVars>
          <dgm:chPref val="3"/>
        </dgm:presLayoutVars>
      </dgm:prSet>
      <dgm:spPr/>
    </dgm:pt>
    <dgm:pt modelId="{3C636421-AE1F-4725-9E20-C3C613095469}" type="pres">
      <dgm:prSet presAssocID="{2E4E8377-E396-4AB8-98EF-8AC980781325}" presName="rootConnector" presStyleLbl="node2" presStyleIdx="0" presStyleCnt="4"/>
      <dgm:spPr/>
    </dgm:pt>
    <dgm:pt modelId="{D494C4A5-9943-4C4B-AC88-ED30E24CC22C}" type="pres">
      <dgm:prSet presAssocID="{2E4E8377-E396-4AB8-98EF-8AC980781325}" presName="hierChild4" presStyleCnt="0"/>
      <dgm:spPr/>
    </dgm:pt>
    <dgm:pt modelId="{8FA42CE2-7134-432F-8163-F868751B8D91}" type="pres">
      <dgm:prSet presAssocID="{2E4E8377-E396-4AB8-98EF-8AC980781325}" presName="hierChild5" presStyleCnt="0"/>
      <dgm:spPr/>
    </dgm:pt>
    <dgm:pt modelId="{204525AC-FAF7-44ED-8C3B-017C1E3AD92B}" type="pres">
      <dgm:prSet presAssocID="{5C467A63-108D-4C7C-BDC6-657DD0BF8415}" presName="Name37" presStyleLbl="parChTrans1D2" presStyleIdx="1" presStyleCnt="4"/>
      <dgm:spPr/>
    </dgm:pt>
    <dgm:pt modelId="{82611F24-2D97-4538-B87F-5C07F331A4FA}" type="pres">
      <dgm:prSet presAssocID="{8A1C85B8-4DF9-4EA4-A520-B8806BDE2988}" presName="hierRoot2" presStyleCnt="0">
        <dgm:presLayoutVars>
          <dgm:hierBranch val="init"/>
        </dgm:presLayoutVars>
      </dgm:prSet>
      <dgm:spPr/>
    </dgm:pt>
    <dgm:pt modelId="{716B564A-84AA-4E3E-BC30-7D60F9F9B521}" type="pres">
      <dgm:prSet presAssocID="{8A1C85B8-4DF9-4EA4-A520-B8806BDE2988}" presName="rootComposite" presStyleCnt="0"/>
      <dgm:spPr/>
    </dgm:pt>
    <dgm:pt modelId="{4707B608-9B05-4B43-B224-63AEF7733054}" type="pres">
      <dgm:prSet presAssocID="{8A1C85B8-4DF9-4EA4-A520-B8806BDE2988}" presName="rootText" presStyleLbl="node2" presStyleIdx="1" presStyleCnt="4">
        <dgm:presLayoutVars>
          <dgm:chPref val="3"/>
        </dgm:presLayoutVars>
      </dgm:prSet>
      <dgm:spPr/>
    </dgm:pt>
    <dgm:pt modelId="{81C7552B-2023-4A95-A0FB-5165A58CD69A}" type="pres">
      <dgm:prSet presAssocID="{8A1C85B8-4DF9-4EA4-A520-B8806BDE2988}" presName="rootConnector" presStyleLbl="node2" presStyleIdx="1" presStyleCnt="4"/>
      <dgm:spPr/>
    </dgm:pt>
    <dgm:pt modelId="{FBE983C5-18CA-4713-BFF7-07348154E9EC}" type="pres">
      <dgm:prSet presAssocID="{8A1C85B8-4DF9-4EA4-A520-B8806BDE2988}" presName="hierChild4" presStyleCnt="0"/>
      <dgm:spPr/>
    </dgm:pt>
    <dgm:pt modelId="{D83EAF60-2502-40E6-A653-8990F64C4B4A}" type="pres">
      <dgm:prSet presAssocID="{CDA28FB1-3004-490D-BF0B-B37741F121E8}" presName="Name37" presStyleLbl="parChTrans1D3" presStyleIdx="0" presStyleCnt="8"/>
      <dgm:spPr/>
    </dgm:pt>
    <dgm:pt modelId="{B9EDBDD0-28A8-4428-B1A7-9B374D1209B9}" type="pres">
      <dgm:prSet presAssocID="{152E0A2E-C3A6-4D1F-AE62-634F4531F35F}" presName="hierRoot2" presStyleCnt="0">
        <dgm:presLayoutVars>
          <dgm:hierBranch val="init"/>
        </dgm:presLayoutVars>
      </dgm:prSet>
      <dgm:spPr/>
    </dgm:pt>
    <dgm:pt modelId="{6B527C59-9C1C-4E30-A1BA-BB2080DFA611}" type="pres">
      <dgm:prSet presAssocID="{152E0A2E-C3A6-4D1F-AE62-634F4531F35F}" presName="rootComposite" presStyleCnt="0"/>
      <dgm:spPr/>
    </dgm:pt>
    <dgm:pt modelId="{BB845F68-FB12-422F-9CD6-851475772EC8}" type="pres">
      <dgm:prSet presAssocID="{152E0A2E-C3A6-4D1F-AE62-634F4531F35F}" presName="rootText" presStyleLbl="node3" presStyleIdx="0" presStyleCnt="8">
        <dgm:presLayoutVars>
          <dgm:chPref val="3"/>
        </dgm:presLayoutVars>
      </dgm:prSet>
      <dgm:spPr/>
    </dgm:pt>
    <dgm:pt modelId="{F81DDA90-EBE0-4D2B-A808-A0A89DBC5035}" type="pres">
      <dgm:prSet presAssocID="{152E0A2E-C3A6-4D1F-AE62-634F4531F35F}" presName="rootConnector" presStyleLbl="node3" presStyleIdx="0" presStyleCnt="8"/>
      <dgm:spPr/>
    </dgm:pt>
    <dgm:pt modelId="{3650ADF4-3F27-4F73-BC73-C3627F61FA3C}" type="pres">
      <dgm:prSet presAssocID="{152E0A2E-C3A6-4D1F-AE62-634F4531F35F}" presName="hierChild4" presStyleCnt="0"/>
      <dgm:spPr/>
    </dgm:pt>
    <dgm:pt modelId="{FB360D78-BA9E-4010-82A7-15ACAE9774F9}" type="pres">
      <dgm:prSet presAssocID="{152E0A2E-C3A6-4D1F-AE62-634F4531F35F}" presName="hierChild5" presStyleCnt="0"/>
      <dgm:spPr/>
    </dgm:pt>
    <dgm:pt modelId="{4E2E7A8C-E5EC-40AC-9F65-6C566B883F63}" type="pres">
      <dgm:prSet presAssocID="{B39588A0-9432-4ADF-94EB-87F9E7A820FD}" presName="Name37" presStyleLbl="parChTrans1D3" presStyleIdx="1" presStyleCnt="8"/>
      <dgm:spPr/>
    </dgm:pt>
    <dgm:pt modelId="{B9FDBC63-A3D8-42B6-9C32-8B92F70C0985}" type="pres">
      <dgm:prSet presAssocID="{F4A91D72-7EDC-45FF-9379-25A9DB23A02C}" presName="hierRoot2" presStyleCnt="0">
        <dgm:presLayoutVars>
          <dgm:hierBranch val="init"/>
        </dgm:presLayoutVars>
      </dgm:prSet>
      <dgm:spPr/>
    </dgm:pt>
    <dgm:pt modelId="{CF563A48-8CAF-4D32-8FDE-321D9D1E6210}" type="pres">
      <dgm:prSet presAssocID="{F4A91D72-7EDC-45FF-9379-25A9DB23A02C}" presName="rootComposite" presStyleCnt="0"/>
      <dgm:spPr/>
    </dgm:pt>
    <dgm:pt modelId="{05972010-922E-43D0-89A8-89EA10E9CB51}" type="pres">
      <dgm:prSet presAssocID="{F4A91D72-7EDC-45FF-9379-25A9DB23A02C}" presName="rootText" presStyleLbl="node3" presStyleIdx="1" presStyleCnt="8">
        <dgm:presLayoutVars>
          <dgm:chPref val="3"/>
        </dgm:presLayoutVars>
      </dgm:prSet>
      <dgm:spPr/>
    </dgm:pt>
    <dgm:pt modelId="{F8F26E1B-8EE5-4B52-9C24-ECC3C063A139}" type="pres">
      <dgm:prSet presAssocID="{F4A91D72-7EDC-45FF-9379-25A9DB23A02C}" presName="rootConnector" presStyleLbl="node3" presStyleIdx="1" presStyleCnt="8"/>
      <dgm:spPr/>
    </dgm:pt>
    <dgm:pt modelId="{73605E35-07E2-441E-9BEA-4319810C834D}" type="pres">
      <dgm:prSet presAssocID="{F4A91D72-7EDC-45FF-9379-25A9DB23A02C}" presName="hierChild4" presStyleCnt="0"/>
      <dgm:spPr/>
    </dgm:pt>
    <dgm:pt modelId="{A181674D-F512-49ED-A4AE-4B9876F56BAF}" type="pres">
      <dgm:prSet presAssocID="{F4A91D72-7EDC-45FF-9379-25A9DB23A02C}" presName="hierChild5" presStyleCnt="0"/>
      <dgm:spPr/>
    </dgm:pt>
    <dgm:pt modelId="{13B55554-6240-486F-93D2-AEAB7A7CCC62}" type="pres">
      <dgm:prSet presAssocID="{EA1DF5BC-1C2D-46AB-B214-A5E21FABAE71}" presName="Name37" presStyleLbl="parChTrans1D3" presStyleIdx="2" presStyleCnt="8"/>
      <dgm:spPr/>
    </dgm:pt>
    <dgm:pt modelId="{72973B1C-B648-4929-8518-CC2C531C6262}" type="pres">
      <dgm:prSet presAssocID="{F2413071-443C-4F12-8387-A83F2FBC1808}" presName="hierRoot2" presStyleCnt="0">
        <dgm:presLayoutVars>
          <dgm:hierBranch val="init"/>
        </dgm:presLayoutVars>
      </dgm:prSet>
      <dgm:spPr/>
    </dgm:pt>
    <dgm:pt modelId="{FBC97DEF-9A81-4E34-8AB2-C5AC3D82E762}" type="pres">
      <dgm:prSet presAssocID="{F2413071-443C-4F12-8387-A83F2FBC1808}" presName="rootComposite" presStyleCnt="0"/>
      <dgm:spPr/>
    </dgm:pt>
    <dgm:pt modelId="{B0F87F37-9E74-46E7-BDA4-9C9C49CBD722}" type="pres">
      <dgm:prSet presAssocID="{F2413071-443C-4F12-8387-A83F2FBC1808}" presName="rootText" presStyleLbl="node3" presStyleIdx="2" presStyleCnt="8">
        <dgm:presLayoutVars>
          <dgm:chPref val="3"/>
        </dgm:presLayoutVars>
      </dgm:prSet>
      <dgm:spPr/>
    </dgm:pt>
    <dgm:pt modelId="{272A5868-122C-49A7-8ED2-D3B87549F716}" type="pres">
      <dgm:prSet presAssocID="{F2413071-443C-4F12-8387-A83F2FBC1808}" presName="rootConnector" presStyleLbl="node3" presStyleIdx="2" presStyleCnt="8"/>
      <dgm:spPr/>
    </dgm:pt>
    <dgm:pt modelId="{0F755458-1210-4802-BE26-1AFD114763B6}" type="pres">
      <dgm:prSet presAssocID="{F2413071-443C-4F12-8387-A83F2FBC1808}" presName="hierChild4" presStyleCnt="0"/>
      <dgm:spPr/>
    </dgm:pt>
    <dgm:pt modelId="{7B6B9E11-6FBD-4185-BB6D-EC7485353063}" type="pres">
      <dgm:prSet presAssocID="{F2413071-443C-4F12-8387-A83F2FBC1808}" presName="hierChild5" presStyleCnt="0"/>
      <dgm:spPr/>
    </dgm:pt>
    <dgm:pt modelId="{31CEB99D-BA48-415C-9FD7-9BD25B799181}" type="pres">
      <dgm:prSet presAssocID="{8A1C85B8-4DF9-4EA4-A520-B8806BDE2988}" presName="hierChild5" presStyleCnt="0"/>
      <dgm:spPr/>
    </dgm:pt>
    <dgm:pt modelId="{88CD1014-7D6D-4C50-979A-C06EC2E01167}" type="pres">
      <dgm:prSet presAssocID="{08E92CDA-95EF-49B6-99F8-3482B7C1CF92}" presName="Name37" presStyleLbl="parChTrans1D2" presStyleIdx="2" presStyleCnt="4"/>
      <dgm:spPr/>
    </dgm:pt>
    <dgm:pt modelId="{07911153-548E-4787-A2C1-E3436ECD3D5C}" type="pres">
      <dgm:prSet presAssocID="{573B2E06-4D28-4BBF-897F-C151AB8A2973}" presName="hierRoot2" presStyleCnt="0">
        <dgm:presLayoutVars>
          <dgm:hierBranch val="init"/>
        </dgm:presLayoutVars>
      </dgm:prSet>
      <dgm:spPr/>
    </dgm:pt>
    <dgm:pt modelId="{D22749C4-5569-4BED-A4E0-44FF33B5EB60}" type="pres">
      <dgm:prSet presAssocID="{573B2E06-4D28-4BBF-897F-C151AB8A2973}" presName="rootComposite" presStyleCnt="0"/>
      <dgm:spPr/>
    </dgm:pt>
    <dgm:pt modelId="{29B08909-ACCA-46E1-8FC0-B9A524022A7A}" type="pres">
      <dgm:prSet presAssocID="{573B2E06-4D28-4BBF-897F-C151AB8A2973}" presName="rootText" presStyleLbl="node2" presStyleIdx="2" presStyleCnt="4">
        <dgm:presLayoutVars>
          <dgm:chPref val="3"/>
        </dgm:presLayoutVars>
      </dgm:prSet>
      <dgm:spPr/>
    </dgm:pt>
    <dgm:pt modelId="{4FA27DCE-B16F-440C-AB34-6160EB95A336}" type="pres">
      <dgm:prSet presAssocID="{573B2E06-4D28-4BBF-897F-C151AB8A2973}" presName="rootConnector" presStyleLbl="node2" presStyleIdx="2" presStyleCnt="4"/>
      <dgm:spPr/>
    </dgm:pt>
    <dgm:pt modelId="{8DE086C6-FD43-4E13-85B7-3508359B7A31}" type="pres">
      <dgm:prSet presAssocID="{573B2E06-4D28-4BBF-897F-C151AB8A2973}" presName="hierChild4" presStyleCnt="0"/>
      <dgm:spPr/>
    </dgm:pt>
    <dgm:pt modelId="{C47522DF-5576-446F-8E82-512BEA6599BF}" type="pres">
      <dgm:prSet presAssocID="{953A6A61-4741-4424-97DB-207D81EE0760}" presName="Name37" presStyleLbl="parChTrans1D3" presStyleIdx="3" presStyleCnt="8"/>
      <dgm:spPr/>
    </dgm:pt>
    <dgm:pt modelId="{20246884-C2BF-4DE8-BE0A-172A7B13D74C}" type="pres">
      <dgm:prSet presAssocID="{860DC3B8-93EA-4C0D-AD60-3F6F70D6D320}" presName="hierRoot2" presStyleCnt="0">
        <dgm:presLayoutVars>
          <dgm:hierBranch val="init"/>
        </dgm:presLayoutVars>
      </dgm:prSet>
      <dgm:spPr/>
    </dgm:pt>
    <dgm:pt modelId="{3DFD9855-8BBC-4785-95C9-F44DE5FE9BA7}" type="pres">
      <dgm:prSet presAssocID="{860DC3B8-93EA-4C0D-AD60-3F6F70D6D320}" presName="rootComposite" presStyleCnt="0"/>
      <dgm:spPr/>
    </dgm:pt>
    <dgm:pt modelId="{54211D11-E08D-4D8D-A538-28BA3DB0ED5D}" type="pres">
      <dgm:prSet presAssocID="{860DC3B8-93EA-4C0D-AD60-3F6F70D6D320}" presName="rootText" presStyleLbl="node3" presStyleIdx="3" presStyleCnt="8">
        <dgm:presLayoutVars>
          <dgm:chPref val="3"/>
        </dgm:presLayoutVars>
      </dgm:prSet>
      <dgm:spPr/>
    </dgm:pt>
    <dgm:pt modelId="{3E04C2F0-9B7F-4C94-87B0-8727CEE62D3B}" type="pres">
      <dgm:prSet presAssocID="{860DC3B8-93EA-4C0D-AD60-3F6F70D6D320}" presName="rootConnector" presStyleLbl="node3" presStyleIdx="3" presStyleCnt="8"/>
      <dgm:spPr/>
    </dgm:pt>
    <dgm:pt modelId="{3BD26AD7-6F48-4F0C-ABF9-4C4A189CCBAE}" type="pres">
      <dgm:prSet presAssocID="{860DC3B8-93EA-4C0D-AD60-3F6F70D6D320}" presName="hierChild4" presStyleCnt="0"/>
      <dgm:spPr/>
    </dgm:pt>
    <dgm:pt modelId="{298F8E8E-0E27-4B18-9FF2-73424EEB64F2}" type="pres">
      <dgm:prSet presAssocID="{860DC3B8-93EA-4C0D-AD60-3F6F70D6D320}" presName="hierChild5" presStyleCnt="0"/>
      <dgm:spPr/>
    </dgm:pt>
    <dgm:pt modelId="{8BB20C09-7002-4252-AF6C-4ACEAF4E6E83}" type="pres">
      <dgm:prSet presAssocID="{190A4C6F-162E-41B0-B429-2B9775D6FB8E}" presName="Name37" presStyleLbl="parChTrans1D3" presStyleIdx="4" presStyleCnt="8"/>
      <dgm:spPr/>
    </dgm:pt>
    <dgm:pt modelId="{31665631-DDC8-43F0-9EC9-155545219317}" type="pres">
      <dgm:prSet presAssocID="{B80FB14D-2EB3-4FC1-9357-FFE5F5F119F8}" presName="hierRoot2" presStyleCnt="0">
        <dgm:presLayoutVars>
          <dgm:hierBranch val="init"/>
        </dgm:presLayoutVars>
      </dgm:prSet>
      <dgm:spPr/>
    </dgm:pt>
    <dgm:pt modelId="{8057DF0F-45E0-4E76-B60F-D946F91EB0F5}" type="pres">
      <dgm:prSet presAssocID="{B80FB14D-2EB3-4FC1-9357-FFE5F5F119F8}" presName="rootComposite" presStyleCnt="0"/>
      <dgm:spPr/>
    </dgm:pt>
    <dgm:pt modelId="{02AB4C67-A206-41ED-BC86-CB189D497F1C}" type="pres">
      <dgm:prSet presAssocID="{B80FB14D-2EB3-4FC1-9357-FFE5F5F119F8}" presName="rootText" presStyleLbl="node3" presStyleIdx="4" presStyleCnt="8">
        <dgm:presLayoutVars>
          <dgm:chPref val="3"/>
        </dgm:presLayoutVars>
      </dgm:prSet>
      <dgm:spPr/>
    </dgm:pt>
    <dgm:pt modelId="{E3DCB0BF-C1FC-4D27-84BA-E04D3A85D7EF}" type="pres">
      <dgm:prSet presAssocID="{B80FB14D-2EB3-4FC1-9357-FFE5F5F119F8}" presName="rootConnector" presStyleLbl="node3" presStyleIdx="4" presStyleCnt="8"/>
      <dgm:spPr/>
    </dgm:pt>
    <dgm:pt modelId="{F3478960-33A3-4D9F-B744-338D2832EA9B}" type="pres">
      <dgm:prSet presAssocID="{B80FB14D-2EB3-4FC1-9357-FFE5F5F119F8}" presName="hierChild4" presStyleCnt="0"/>
      <dgm:spPr/>
    </dgm:pt>
    <dgm:pt modelId="{33491C92-CA15-4969-B267-3C45E629D089}" type="pres">
      <dgm:prSet presAssocID="{B80FB14D-2EB3-4FC1-9357-FFE5F5F119F8}" presName="hierChild5" presStyleCnt="0"/>
      <dgm:spPr/>
    </dgm:pt>
    <dgm:pt modelId="{34D9873B-C35F-4DE3-A770-8B8A29D0AE42}" type="pres">
      <dgm:prSet presAssocID="{573B2E06-4D28-4BBF-897F-C151AB8A2973}" presName="hierChild5" presStyleCnt="0"/>
      <dgm:spPr/>
    </dgm:pt>
    <dgm:pt modelId="{0A50FB07-6CBE-430F-9DA2-21240FFA0D90}" type="pres">
      <dgm:prSet presAssocID="{72A4DEB6-2B11-48AE-8ADD-7FDB2355913E}" presName="Name37" presStyleLbl="parChTrans1D2" presStyleIdx="3" presStyleCnt="4"/>
      <dgm:spPr/>
    </dgm:pt>
    <dgm:pt modelId="{3E7701C5-48B3-4C67-867C-A8033CCDC6BA}" type="pres">
      <dgm:prSet presAssocID="{A26CBB9A-3980-4C47-97B0-1697CE0E6BAD}" presName="hierRoot2" presStyleCnt="0">
        <dgm:presLayoutVars>
          <dgm:hierBranch val="init"/>
        </dgm:presLayoutVars>
      </dgm:prSet>
      <dgm:spPr/>
    </dgm:pt>
    <dgm:pt modelId="{0B7680AA-0394-42D8-8211-573C92182FCB}" type="pres">
      <dgm:prSet presAssocID="{A26CBB9A-3980-4C47-97B0-1697CE0E6BAD}" presName="rootComposite" presStyleCnt="0"/>
      <dgm:spPr/>
    </dgm:pt>
    <dgm:pt modelId="{FF055688-693F-4B19-828C-4B0CF6E8D203}" type="pres">
      <dgm:prSet presAssocID="{A26CBB9A-3980-4C47-97B0-1697CE0E6BAD}" presName="rootText" presStyleLbl="node2" presStyleIdx="3" presStyleCnt="4">
        <dgm:presLayoutVars>
          <dgm:chPref val="3"/>
        </dgm:presLayoutVars>
      </dgm:prSet>
      <dgm:spPr/>
    </dgm:pt>
    <dgm:pt modelId="{9BA9F031-4462-4162-9C96-E8E7286C0675}" type="pres">
      <dgm:prSet presAssocID="{A26CBB9A-3980-4C47-97B0-1697CE0E6BAD}" presName="rootConnector" presStyleLbl="node2" presStyleIdx="3" presStyleCnt="4"/>
      <dgm:spPr/>
    </dgm:pt>
    <dgm:pt modelId="{85C5728A-B7A1-4EA4-AE4C-E69C09AE6AAB}" type="pres">
      <dgm:prSet presAssocID="{A26CBB9A-3980-4C47-97B0-1697CE0E6BAD}" presName="hierChild4" presStyleCnt="0"/>
      <dgm:spPr/>
    </dgm:pt>
    <dgm:pt modelId="{AEAAF46E-B3B4-4908-BA1E-BA9FAAD6F494}" type="pres">
      <dgm:prSet presAssocID="{BE2B747D-F52A-4499-AC2A-28695F8D3AA1}" presName="Name37" presStyleLbl="parChTrans1D3" presStyleIdx="5" presStyleCnt="8"/>
      <dgm:spPr/>
    </dgm:pt>
    <dgm:pt modelId="{D8B6EB9E-168C-4B03-9D97-02A2E8D1CC62}" type="pres">
      <dgm:prSet presAssocID="{47E1F3DD-81FD-4E1B-B093-2213C448DC7C}" presName="hierRoot2" presStyleCnt="0">
        <dgm:presLayoutVars>
          <dgm:hierBranch val="init"/>
        </dgm:presLayoutVars>
      </dgm:prSet>
      <dgm:spPr/>
    </dgm:pt>
    <dgm:pt modelId="{772F8E0C-84B8-4DEF-B875-4D02BA44046E}" type="pres">
      <dgm:prSet presAssocID="{47E1F3DD-81FD-4E1B-B093-2213C448DC7C}" presName="rootComposite" presStyleCnt="0"/>
      <dgm:spPr/>
    </dgm:pt>
    <dgm:pt modelId="{E3BD61B6-1347-4106-A2FF-0C449CE072A1}" type="pres">
      <dgm:prSet presAssocID="{47E1F3DD-81FD-4E1B-B093-2213C448DC7C}" presName="rootText" presStyleLbl="node3" presStyleIdx="5" presStyleCnt="8">
        <dgm:presLayoutVars>
          <dgm:chPref val="3"/>
        </dgm:presLayoutVars>
      </dgm:prSet>
      <dgm:spPr/>
    </dgm:pt>
    <dgm:pt modelId="{CF6A44F9-C470-4D92-BBD5-43EF5938A796}" type="pres">
      <dgm:prSet presAssocID="{47E1F3DD-81FD-4E1B-B093-2213C448DC7C}" presName="rootConnector" presStyleLbl="node3" presStyleIdx="5" presStyleCnt="8"/>
      <dgm:spPr/>
    </dgm:pt>
    <dgm:pt modelId="{A7BE492B-1BF9-4A54-A754-FCC536776148}" type="pres">
      <dgm:prSet presAssocID="{47E1F3DD-81FD-4E1B-B093-2213C448DC7C}" presName="hierChild4" presStyleCnt="0"/>
      <dgm:spPr/>
    </dgm:pt>
    <dgm:pt modelId="{101BE8A4-DA44-4FF7-9D7A-A02A7A916455}" type="pres">
      <dgm:prSet presAssocID="{47E1F3DD-81FD-4E1B-B093-2213C448DC7C}" presName="hierChild5" presStyleCnt="0"/>
      <dgm:spPr/>
    </dgm:pt>
    <dgm:pt modelId="{F58B4C1B-4D73-451B-AFA6-754493AE70F5}" type="pres">
      <dgm:prSet presAssocID="{9F0E6D7B-97EF-41A8-9B03-43A9A9A049DF}" presName="Name37" presStyleLbl="parChTrans1D3" presStyleIdx="6" presStyleCnt="8"/>
      <dgm:spPr/>
    </dgm:pt>
    <dgm:pt modelId="{DF73E2F2-303C-4624-B7F4-C5CAF8D083F5}" type="pres">
      <dgm:prSet presAssocID="{BA46E226-EDAE-4ED2-8F75-6DB8213AD6AE}" presName="hierRoot2" presStyleCnt="0">
        <dgm:presLayoutVars>
          <dgm:hierBranch val="init"/>
        </dgm:presLayoutVars>
      </dgm:prSet>
      <dgm:spPr/>
    </dgm:pt>
    <dgm:pt modelId="{3001153B-D156-4941-8C1D-8B8FCCBB5E14}" type="pres">
      <dgm:prSet presAssocID="{BA46E226-EDAE-4ED2-8F75-6DB8213AD6AE}" presName="rootComposite" presStyleCnt="0"/>
      <dgm:spPr/>
    </dgm:pt>
    <dgm:pt modelId="{08024D72-CC3D-4A30-8CE1-7CA6697D046E}" type="pres">
      <dgm:prSet presAssocID="{BA46E226-EDAE-4ED2-8F75-6DB8213AD6AE}" presName="rootText" presStyleLbl="node3" presStyleIdx="6" presStyleCnt="8">
        <dgm:presLayoutVars>
          <dgm:chPref val="3"/>
        </dgm:presLayoutVars>
      </dgm:prSet>
      <dgm:spPr/>
    </dgm:pt>
    <dgm:pt modelId="{A5B392C8-981C-48D7-AA42-8F4E4DE05DB4}" type="pres">
      <dgm:prSet presAssocID="{BA46E226-EDAE-4ED2-8F75-6DB8213AD6AE}" presName="rootConnector" presStyleLbl="node3" presStyleIdx="6" presStyleCnt="8"/>
      <dgm:spPr/>
    </dgm:pt>
    <dgm:pt modelId="{5500CE7E-BBB6-466B-B536-F229E6461CD3}" type="pres">
      <dgm:prSet presAssocID="{BA46E226-EDAE-4ED2-8F75-6DB8213AD6AE}" presName="hierChild4" presStyleCnt="0"/>
      <dgm:spPr/>
    </dgm:pt>
    <dgm:pt modelId="{23D5A0A3-A137-4525-8105-00D9409D922E}" type="pres">
      <dgm:prSet presAssocID="{BA46E226-EDAE-4ED2-8F75-6DB8213AD6AE}" presName="hierChild5" presStyleCnt="0"/>
      <dgm:spPr/>
    </dgm:pt>
    <dgm:pt modelId="{C8908EC6-FE86-4879-B8C8-8C30F0B2E373}" type="pres">
      <dgm:prSet presAssocID="{D6CB3223-D03D-489C-941F-1E0714292429}" presName="Name37" presStyleLbl="parChTrans1D3" presStyleIdx="7" presStyleCnt="8"/>
      <dgm:spPr/>
    </dgm:pt>
    <dgm:pt modelId="{6FF66598-9ADA-450A-B6CE-D3B367D8DDA7}" type="pres">
      <dgm:prSet presAssocID="{668C88FF-8F93-4E41-9E00-319DE4BEFB8D}" presName="hierRoot2" presStyleCnt="0">
        <dgm:presLayoutVars>
          <dgm:hierBranch val="init"/>
        </dgm:presLayoutVars>
      </dgm:prSet>
      <dgm:spPr/>
    </dgm:pt>
    <dgm:pt modelId="{1DFC3A91-F395-4582-AF44-A96BA831902B}" type="pres">
      <dgm:prSet presAssocID="{668C88FF-8F93-4E41-9E00-319DE4BEFB8D}" presName="rootComposite" presStyleCnt="0"/>
      <dgm:spPr/>
    </dgm:pt>
    <dgm:pt modelId="{D3D7CAE6-ED16-4AEB-994D-0549784ED378}" type="pres">
      <dgm:prSet presAssocID="{668C88FF-8F93-4E41-9E00-319DE4BEFB8D}" presName="rootText" presStyleLbl="node3" presStyleIdx="7" presStyleCnt="8">
        <dgm:presLayoutVars>
          <dgm:chPref val="3"/>
        </dgm:presLayoutVars>
      </dgm:prSet>
      <dgm:spPr/>
    </dgm:pt>
    <dgm:pt modelId="{4AC0B413-C93B-43BB-8CD1-C94AAAD00135}" type="pres">
      <dgm:prSet presAssocID="{668C88FF-8F93-4E41-9E00-319DE4BEFB8D}" presName="rootConnector" presStyleLbl="node3" presStyleIdx="7" presStyleCnt="8"/>
      <dgm:spPr/>
    </dgm:pt>
    <dgm:pt modelId="{72FEA95A-175F-4082-8133-382F20288B6E}" type="pres">
      <dgm:prSet presAssocID="{668C88FF-8F93-4E41-9E00-319DE4BEFB8D}" presName="hierChild4" presStyleCnt="0"/>
      <dgm:spPr/>
    </dgm:pt>
    <dgm:pt modelId="{1E076340-0109-4F8D-88DD-25E47E687DEA}" type="pres">
      <dgm:prSet presAssocID="{668C88FF-8F93-4E41-9E00-319DE4BEFB8D}" presName="hierChild5" presStyleCnt="0"/>
      <dgm:spPr/>
    </dgm:pt>
    <dgm:pt modelId="{8C2FC09D-F089-4E79-8ACE-A758B545C860}" type="pres">
      <dgm:prSet presAssocID="{A26CBB9A-3980-4C47-97B0-1697CE0E6BAD}" presName="hierChild5" presStyleCnt="0"/>
      <dgm:spPr/>
    </dgm:pt>
    <dgm:pt modelId="{D8665EAC-93B2-4B03-874D-BD6D0EB445E6}" type="pres">
      <dgm:prSet presAssocID="{6D9C566B-BE47-4B7D-A966-37201FE4E814}" presName="hierChild3" presStyleCnt="0"/>
      <dgm:spPr/>
    </dgm:pt>
  </dgm:ptLst>
  <dgm:cxnLst>
    <dgm:cxn modelId="{FCE86E01-F085-45AC-A859-0FD85B701CA5}" type="presOf" srcId="{72A4DEB6-2B11-48AE-8ADD-7FDB2355913E}" destId="{0A50FB07-6CBE-430F-9DA2-21240FFA0D90}" srcOrd="0" destOrd="0" presId="urn:microsoft.com/office/officeart/2005/8/layout/orgChart1"/>
    <dgm:cxn modelId="{653D5303-03C0-4CE4-B873-3418C9338460}" type="presOf" srcId="{9F0E6D7B-97EF-41A8-9B03-43A9A9A049DF}" destId="{F58B4C1B-4D73-451B-AFA6-754493AE70F5}" srcOrd="0" destOrd="0" presId="urn:microsoft.com/office/officeart/2005/8/layout/orgChart1"/>
    <dgm:cxn modelId="{63659E03-2094-49F4-B9FB-77953A6F8EF3}" type="presOf" srcId="{CDA28FB1-3004-490D-BF0B-B37741F121E8}" destId="{D83EAF60-2502-40E6-A653-8990F64C4B4A}" srcOrd="0" destOrd="0" presId="urn:microsoft.com/office/officeart/2005/8/layout/orgChart1"/>
    <dgm:cxn modelId="{C7AE3D06-CA83-47CF-834D-B61F074CC8CD}" type="presOf" srcId="{5C467A63-108D-4C7C-BDC6-657DD0BF8415}" destId="{204525AC-FAF7-44ED-8C3B-017C1E3AD92B}" srcOrd="0" destOrd="0" presId="urn:microsoft.com/office/officeart/2005/8/layout/orgChart1"/>
    <dgm:cxn modelId="{D4C92208-6C4B-49AC-B080-0E96DEF29308}" type="presOf" srcId="{BA46E226-EDAE-4ED2-8F75-6DB8213AD6AE}" destId="{A5B392C8-981C-48D7-AA42-8F4E4DE05DB4}" srcOrd="1" destOrd="0" presId="urn:microsoft.com/office/officeart/2005/8/layout/orgChart1"/>
    <dgm:cxn modelId="{E18BBC09-1AB4-4EF8-9FA6-98B624F80630}" type="presOf" srcId="{47E1F3DD-81FD-4E1B-B093-2213C448DC7C}" destId="{CF6A44F9-C470-4D92-BBD5-43EF5938A796}" srcOrd="1" destOrd="0" presId="urn:microsoft.com/office/officeart/2005/8/layout/orgChart1"/>
    <dgm:cxn modelId="{1D93640B-09C1-4E1E-9579-47BAE6891AA4}" type="presOf" srcId="{A26CBB9A-3980-4C47-97B0-1697CE0E6BAD}" destId="{FF055688-693F-4B19-828C-4B0CF6E8D203}" srcOrd="0" destOrd="0" presId="urn:microsoft.com/office/officeart/2005/8/layout/orgChart1"/>
    <dgm:cxn modelId="{E31BE311-492F-4899-AFCA-0F1396267E10}" type="presOf" srcId="{EA1DF5BC-1C2D-46AB-B214-A5E21FABAE71}" destId="{13B55554-6240-486F-93D2-AEAB7A7CCC62}" srcOrd="0" destOrd="0" presId="urn:microsoft.com/office/officeart/2005/8/layout/orgChart1"/>
    <dgm:cxn modelId="{637E4612-7EFA-4123-AD1A-FA368DBDCE03}" srcId="{6D9C566B-BE47-4B7D-A966-37201FE4E814}" destId="{A26CBB9A-3980-4C47-97B0-1697CE0E6BAD}" srcOrd="3" destOrd="0" parTransId="{72A4DEB6-2B11-48AE-8ADD-7FDB2355913E}" sibTransId="{15B2B8C7-0BB7-4E43-B1A7-261D18B1AB1E}"/>
    <dgm:cxn modelId="{01FD6D13-CD98-477A-A944-E561893B2DB0}" type="presOf" srcId="{573B2E06-4D28-4BBF-897F-C151AB8A2973}" destId="{29B08909-ACCA-46E1-8FC0-B9A524022A7A}" srcOrd="0" destOrd="0" presId="urn:microsoft.com/office/officeart/2005/8/layout/orgChart1"/>
    <dgm:cxn modelId="{CB207113-D92D-428F-9E67-CF1B70EAD961}" type="presOf" srcId="{F2413071-443C-4F12-8387-A83F2FBC1808}" destId="{B0F87F37-9E74-46E7-BDA4-9C9C49CBD722}" srcOrd="0" destOrd="0" presId="urn:microsoft.com/office/officeart/2005/8/layout/orgChart1"/>
    <dgm:cxn modelId="{713D9D14-79C0-42DA-9C33-647F0D43A825}" type="presOf" srcId="{BE2B747D-F52A-4499-AC2A-28695F8D3AA1}" destId="{AEAAF46E-B3B4-4908-BA1E-BA9FAAD6F494}" srcOrd="0" destOrd="0" presId="urn:microsoft.com/office/officeart/2005/8/layout/orgChart1"/>
    <dgm:cxn modelId="{B3E4BB1E-0673-4D85-9BD9-C4681BB6D67F}" srcId="{8A1C85B8-4DF9-4EA4-A520-B8806BDE2988}" destId="{F2413071-443C-4F12-8387-A83F2FBC1808}" srcOrd="2" destOrd="0" parTransId="{EA1DF5BC-1C2D-46AB-B214-A5E21FABAE71}" sibTransId="{363A84E7-8429-42B3-ABF8-8F3813E17255}"/>
    <dgm:cxn modelId="{06165920-6E0D-4AAB-BF7D-09F4AA648A32}" type="presOf" srcId="{2E249F5B-CE4F-4B8D-B213-25CF2E43597D}" destId="{2073275C-6EA1-4F92-B6FB-B20E277A12E7}" srcOrd="0" destOrd="0" presId="urn:microsoft.com/office/officeart/2005/8/layout/orgChart1"/>
    <dgm:cxn modelId="{54AF2B26-0523-4CE8-B521-A8F118FC2DAB}" srcId="{8A1C85B8-4DF9-4EA4-A520-B8806BDE2988}" destId="{152E0A2E-C3A6-4D1F-AE62-634F4531F35F}" srcOrd="0" destOrd="0" parTransId="{CDA28FB1-3004-490D-BF0B-B37741F121E8}" sibTransId="{1B8A9496-CAB5-4DC3-B89E-287449E065FC}"/>
    <dgm:cxn modelId="{CB422932-D158-4B9B-80CE-8B67F6499323}" type="presOf" srcId="{B39588A0-9432-4ADF-94EB-87F9E7A820FD}" destId="{4E2E7A8C-E5EC-40AC-9F65-6C566B883F63}" srcOrd="0" destOrd="0" presId="urn:microsoft.com/office/officeart/2005/8/layout/orgChart1"/>
    <dgm:cxn modelId="{B008133D-957A-491A-A6DD-ECA8882A43E4}" type="presOf" srcId="{953A6A61-4741-4424-97DB-207D81EE0760}" destId="{C47522DF-5576-446F-8E82-512BEA6599BF}" srcOrd="0" destOrd="0" presId="urn:microsoft.com/office/officeart/2005/8/layout/orgChart1"/>
    <dgm:cxn modelId="{C3FDFF3F-A654-4CD1-B1AB-3E5CE7CF05EC}" type="presOf" srcId="{152E0A2E-C3A6-4D1F-AE62-634F4531F35F}" destId="{F81DDA90-EBE0-4D2B-A808-A0A89DBC5035}" srcOrd="1" destOrd="0" presId="urn:microsoft.com/office/officeart/2005/8/layout/orgChart1"/>
    <dgm:cxn modelId="{8157ED60-EE07-4A24-B4EB-DC7555AF0D47}" type="presOf" srcId="{6D9C566B-BE47-4B7D-A966-37201FE4E814}" destId="{EC0D6932-E2DC-4110-B935-0513BE19F70B}" srcOrd="1" destOrd="0" presId="urn:microsoft.com/office/officeart/2005/8/layout/orgChart1"/>
    <dgm:cxn modelId="{629E3B42-AFB9-4A17-9470-74F464197A51}" srcId="{6D9C566B-BE47-4B7D-A966-37201FE4E814}" destId="{8A1C85B8-4DF9-4EA4-A520-B8806BDE2988}" srcOrd="1" destOrd="0" parTransId="{5C467A63-108D-4C7C-BDC6-657DD0BF8415}" sibTransId="{DF89B47C-2151-4389-AE63-9EB9D47EAD09}"/>
    <dgm:cxn modelId="{8C370966-FDDD-49C3-A8A0-CD98D40A1933}" type="presOf" srcId="{A26CBB9A-3980-4C47-97B0-1697CE0E6BAD}" destId="{9BA9F031-4462-4162-9C96-E8E7286C0675}" srcOrd="1" destOrd="0" presId="urn:microsoft.com/office/officeart/2005/8/layout/orgChart1"/>
    <dgm:cxn modelId="{B0D62B68-69B4-415A-AF80-AF3812C60A28}" type="presOf" srcId="{47E1F3DD-81FD-4E1B-B093-2213C448DC7C}" destId="{E3BD61B6-1347-4106-A2FF-0C449CE072A1}" srcOrd="0" destOrd="0" presId="urn:microsoft.com/office/officeart/2005/8/layout/orgChart1"/>
    <dgm:cxn modelId="{89F8CF6A-4A63-466B-872F-D546FF5B41FF}" srcId="{A26CBB9A-3980-4C47-97B0-1697CE0E6BAD}" destId="{47E1F3DD-81FD-4E1B-B093-2213C448DC7C}" srcOrd="0" destOrd="0" parTransId="{BE2B747D-F52A-4499-AC2A-28695F8D3AA1}" sibTransId="{8D6F6F12-77C0-4395-B900-C3DF5B232410}"/>
    <dgm:cxn modelId="{DD263A4E-16A1-4840-B0B3-D98E6A7FB95C}" type="presOf" srcId="{F4A91D72-7EDC-45FF-9379-25A9DB23A02C}" destId="{F8F26E1B-8EE5-4B52-9C24-ECC3C063A139}" srcOrd="1" destOrd="0" presId="urn:microsoft.com/office/officeart/2005/8/layout/orgChart1"/>
    <dgm:cxn modelId="{64381D4F-755F-492A-8942-A22CBA8F086B}" type="presOf" srcId="{BA46E226-EDAE-4ED2-8F75-6DB8213AD6AE}" destId="{08024D72-CC3D-4A30-8CE1-7CA6697D046E}" srcOrd="0" destOrd="0" presId="urn:microsoft.com/office/officeart/2005/8/layout/orgChart1"/>
    <dgm:cxn modelId="{20D99051-9799-4A53-B195-3A3F33064BEE}" srcId="{A26CBB9A-3980-4C47-97B0-1697CE0E6BAD}" destId="{BA46E226-EDAE-4ED2-8F75-6DB8213AD6AE}" srcOrd="1" destOrd="0" parTransId="{9F0E6D7B-97EF-41A8-9B03-43A9A9A049DF}" sibTransId="{4AD4406C-80D0-4AF5-AE6C-D0ABB199D123}"/>
    <dgm:cxn modelId="{F9A7FF51-2EB8-4587-9AAD-0936DC94D6DE}" type="presOf" srcId="{668C88FF-8F93-4E41-9E00-319DE4BEFB8D}" destId="{4AC0B413-C93B-43BB-8CD1-C94AAAD00135}" srcOrd="1" destOrd="0" presId="urn:microsoft.com/office/officeart/2005/8/layout/orgChart1"/>
    <dgm:cxn modelId="{A9D4CB8D-286A-4ACD-8F12-511DE618A227}" type="presOf" srcId="{6D9C566B-BE47-4B7D-A966-37201FE4E814}" destId="{3D165F57-086A-42F4-87BD-6215BE70A14D}" srcOrd="0" destOrd="0" presId="urn:microsoft.com/office/officeart/2005/8/layout/orgChart1"/>
    <dgm:cxn modelId="{014FD78F-AD9A-4927-ABCA-7A022AA8A128}" type="presOf" srcId="{2E4E8377-E396-4AB8-98EF-8AC980781325}" destId="{7F61029E-C62B-407F-81AA-282DBDBC6278}" srcOrd="0" destOrd="0" presId="urn:microsoft.com/office/officeart/2005/8/layout/orgChart1"/>
    <dgm:cxn modelId="{6856B69C-234A-47B2-B403-874F9AD8BE71}" type="presOf" srcId="{B80FB14D-2EB3-4FC1-9357-FFE5F5F119F8}" destId="{02AB4C67-A206-41ED-BC86-CB189D497F1C}" srcOrd="0" destOrd="0" presId="urn:microsoft.com/office/officeart/2005/8/layout/orgChart1"/>
    <dgm:cxn modelId="{1E7E989F-5ECF-4430-9B24-DAEA2DFBEB01}" srcId="{6D9C566B-BE47-4B7D-A966-37201FE4E814}" destId="{2E4E8377-E396-4AB8-98EF-8AC980781325}" srcOrd="0" destOrd="0" parTransId="{2E249F5B-CE4F-4B8D-B213-25CF2E43597D}" sibTransId="{1AFED39C-1D3F-462A-A147-DE49E1AF700A}"/>
    <dgm:cxn modelId="{D43B54A3-48E5-4C7F-AFAB-2BE9E9F1B972}" type="presOf" srcId="{668C88FF-8F93-4E41-9E00-319DE4BEFB8D}" destId="{D3D7CAE6-ED16-4AEB-994D-0549784ED378}" srcOrd="0" destOrd="0" presId="urn:microsoft.com/office/officeart/2005/8/layout/orgChart1"/>
    <dgm:cxn modelId="{0BBD4DA5-CEB8-4D27-8AEE-FD341FC59738}" type="presOf" srcId="{8A1C85B8-4DF9-4EA4-A520-B8806BDE2988}" destId="{81C7552B-2023-4A95-A0FB-5165A58CD69A}" srcOrd="1" destOrd="0" presId="urn:microsoft.com/office/officeart/2005/8/layout/orgChart1"/>
    <dgm:cxn modelId="{BBF189AC-6424-4137-AECA-7344D7D503F4}" type="presOf" srcId="{2E4E8377-E396-4AB8-98EF-8AC980781325}" destId="{3C636421-AE1F-4725-9E20-C3C613095469}" srcOrd="1" destOrd="0" presId="urn:microsoft.com/office/officeart/2005/8/layout/orgChart1"/>
    <dgm:cxn modelId="{9B4634AD-7777-4648-9243-9DEC0B9A88E4}" srcId="{A26CBB9A-3980-4C47-97B0-1697CE0E6BAD}" destId="{668C88FF-8F93-4E41-9E00-319DE4BEFB8D}" srcOrd="2" destOrd="0" parTransId="{D6CB3223-D03D-489C-941F-1E0714292429}" sibTransId="{7C4EDF9C-207A-4EB1-9E5F-2065240EAAED}"/>
    <dgm:cxn modelId="{4AF67CAD-2FCD-4E5B-92F5-6992254C9B9E}" type="presOf" srcId="{F2413071-443C-4F12-8387-A83F2FBC1808}" destId="{272A5868-122C-49A7-8ED2-D3B87549F716}" srcOrd="1" destOrd="0" presId="urn:microsoft.com/office/officeart/2005/8/layout/orgChart1"/>
    <dgm:cxn modelId="{AD278CAD-D5C1-4BFA-A380-678856D1B9FB}" srcId="{573B2E06-4D28-4BBF-897F-C151AB8A2973}" destId="{B80FB14D-2EB3-4FC1-9357-FFE5F5F119F8}" srcOrd="1" destOrd="0" parTransId="{190A4C6F-162E-41B0-B429-2B9775D6FB8E}" sibTransId="{6A116FEC-E2B9-400B-A0FA-E9CB8CC026D1}"/>
    <dgm:cxn modelId="{9777ABBA-F8A6-44F5-943D-0A21AABA9904}" type="presOf" srcId="{F4A91D72-7EDC-45FF-9379-25A9DB23A02C}" destId="{05972010-922E-43D0-89A8-89EA10E9CB51}" srcOrd="0" destOrd="0" presId="urn:microsoft.com/office/officeart/2005/8/layout/orgChart1"/>
    <dgm:cxn modelId="{E4B358C2-7254-4D1A-A608-C1BC1A520AAC}" type="presOf" srcId="{860DC3B8-93EA-4C0D-AD60-3F6F70D6D320}" destId="{3E04C2F0-9B7F-4C94-87B0-8727CEE62D3B}" srcOrd="1" destOrd="0" presId="urn:microsoft.com/office/officeart/2005/8/layout/orgChart1"/>
    <dgm:cxn modelId="{F0A633C8-7156-4179-AB1F-0A7B4E12D37D}" srcId="{0B56B73D-29A0-4318-A96A-1669BFB22D6C}" destId="{6D9C566B-BE47-4B7D-A966-37201FE4E814}" srcOrd="0" destOrd="0" parTransId="{58F17193-E70E-4457-8479-8561B7C6C844}" sibTransId="{C8538DF4-0248-4B6C-909B-7FC373755040}"/>
    <dgm:cxn modelId="{432DB8CC-F07D-4C9E-907F-5D1877978E7B}" type="presOf" srcId="{D6CB3223-D03D-489C-941F-1E0714292429}" destId="{C8908EC6-FE86-4879-B8C8-8C30F0B2E373}" srcOrd="0" destOrd="0" presId="urn:microsoft.com/office/officeart/2005/8/layout/orgChart1"/>
    <dgm:cxn modelId="{ADD220CD-4C17-4569-BF0F-67984E410478}" srcId="{573B2E06-4D28-4BBF-897F-C151AB8A2973}" destId="{860DC3B8-93EA-4C0D-AD60-3F6F70D6D320}" srcOrd="0" destOrd="0" parTransId="{953A6A61-4741-4424-97DB-207D81EE0760}" sibTransId="{395B3C3D-A82F-4FF2-A8C2-68F66330018C}"/>
    <dgm:cxn modelId="{243269D1-C5B1-4F38-9C64-5B2E27C23238}" srcId="{8A1C85B8-4DF9-4EA4-A520-B8806BDE2988}" destId="{F4A91D72-7EDC-45FF-9379-25A9DB23A02C}" srcOrd="1" destOrd="0" parTransId="{B39588A0-9432-4ADF-94EB-87F9E7A820FD}" sibTransId="{D3D859C7-3288-474D-8C9B-6674B614D415}"/>
    <dgm:cxn modelId="{38E8B4D6-F677-4FBA-A7A9-3333C4DFC61B}" type="presOf" srcId="{8A1C85B8-4DF9-4EA4-A520-B8806BDE2988}" destId="{4707B608-9B05-4B43-B224-63AEF7733054}" srcOrd="0" destOrd="0" presId="urn:microsoft.com/office/officeart/2005/8/layout/orgChart1"/>
    <dgm:cxn modelId="{647D4DD9-8155-4534-9188-B3CDC4D082AE}" type="presOf" srcId="{152E0A2E-C3A6-4D1F-AE62-634F4531F35F}" destId="{BB845F68-FB12-422F-9CD6-851475772EC8}" srcOrd="0" destOrd="0" presId="urn:microsoft.com/office/officeart/2005/8/layout/orgChart1"/>
    <dgm:cxn modelId="{D9CC76DA-0BFC-4FB6-8922-A9C86B88B5EE}" type="presOf" srcId="{08E92CDA-95EF-49B6-99F8-3482B7C1CF92}" destId="{88CD1014-7D6D-4C50-979A-C06EC2E01167}" srcOrd="0" destOrd="0" presId="urn:microsoft.com/office/officeart/2005/8/layout/orgChart1"/>
    <dgm:cxn modelId="{C7D310DF-E9A6-4A56-A251-B59F234B017C}" type="presOf" srcId="{0B56B73D-29A0-4318-A96A-1669BFB22D6C}" destId="{3E4EA48A-C820-4A26-B313-BD179A9E0E78}" srcOrd="0" destOrd="0" presId="urn:microsoft.com/office/officeart/2005/8/layout/orgChart1"/>
    <dgm:cxn modelId="{8E15FBDF-7A5A-4664-AD27-73DF9C2D9C8D}" type="presOf" srcId="{B80FB14D-2EB3-4FC1-9357-FFE5F5F119F8}" destId="{E3DCB0BF-C1FC-4D27-84BA-E04D3A85D7EF}" srcOrd="1" destOrd="0" presId="urn:microsoft.com/office/officeart/2005/8/layout/orgChart1"/>
    <dgm:cxn modelId="{CCF159E0-BAB2-4433-940B-3A7F86F1356E}" type="presOf" srcId="{573B2E06-4D28-4BBF-897F-C151AB8A2973}" destId="{4FA27DCE-B16F-440C-AB34-6160EB95A336}" srcOrd="1" destOrd="0" presId="urn:microsoft.com/office/officeart/2005/8/layout/orgChart1"/>
    <dgm:cxn modelId="{2561CAE9-027A-4EEA-B044-2942C1328E1C}" type="presOf" srcId="{860DC3B8-93EA-4C0D-AD60-3F6F70D6D320}" destId="{54211D11-E08D-4D8D-A538-28BA3DB0ED5D}" srcOrd="0" destOrd="0" presId="urn:microsoft.com/office/officeart/2005/8/layout/orgChart1"/>
    <dgm:cxn modelId="{6CA73EEA-427E-4E45-8F42-5B215E5074D5}" srcId="{6D9C566B-BE47-4B7D-A966-37201FE4E814}" destId="{573B2E06-4D28-4BBF-897F-C151AB8A2973}" srcOrd="2" destOrd="0" parTransId="{08E92CDA-95EF-49B6-99F8-3482B7C1CF92}" sibTransId="{3FE9D825-8BDB-44D0-85F1-72B4E26CBF3B}"/>
    <dgm:cxn modelId="{B90325F3-476A-4DDC-B755-E2E29287DCB8}" type="presOf" srcId="{190A4C6F-162E-41B0-B429-2B9775D6FB8E}" destId="{8BB20C09-7002-4252-AF6C-4ACEAF4E6E83}" srcOrd="0" destOrd="0" presId="urn:microsoft.com/office/officeart/2005/8/layout/orgChart1"/>
    <dgm:cxn modelId="{87134745-B1C7-41D1-A4CC-74E175373CB0}" type="presParOf" srcId="{3E4EA48A-C820-4A26-B313-BD179A9E0E78}" destId="{14C3AF09-461C-4A70-9A39-03560F65975E}" srcOrd="0" destOrd="0" presId="urn:microsoft.com/office/officeart/2005/8/layout/orgChart1"/>
    <dgm:cxn modelId="{FC0F7D40-9F38-4C55-A0E5-687755DBCD22}" type="presParOf" srcId="{14C3AF09-461C-4A70-9A39-03560F65975E}" destId="{948EE833-BE74-4E74-A3CB-2333CFDB412D}" srcOrd="0" destOrd="0" presId="urn:microsoft.com/office/officeart/2005/8/layout/orgChart1"/>
    <dgm:cxn modelId="{7AF5DAD6-1B8A-438D-8950-81002D178677}" type="presParOf" srcId="{948EE833-BE74-4E74-A3CB-2333CFDB412D}" destId="{3D165F57-086A-42F4-87BD-6215BE70A14D}" srcOrd="0" destOrd="0" presId="urn:microsoft.com/office/officeart/2005/8/layout/orgChart1"/>
    <dgm:cxn modelId="{A51C0FD6-7497-4FF5-A2A7-485C6A8AE04C}" type="presParOf" srcId="{948EE833-BE74-4E74-A3CB-2333CFDB412D}" destId="{EC0D6932-E2DC-4110-B935-0513BE19F70B}" srcOrd="1" destOrd="0" presId="urn:microsoft.com/office/officeart/2005/8/layout/orgChart1"/>
    <dgm:cxn modelId="{BF240877-69BD-48EF-A2B4-68D7D3E7EFBB}" type="presParOf" srcId="{14C3AF09-461C-4A70-9A39-03560F65975E}" destId="{96AA4CBD-72D6-4351-ABB2-9D31A80BB34E}" srcOrd="1" destOrd="0" presId="urn:microsoft.com/office/officeart/2005/8/layout/orgChart1"/>
    <dgm:cxn modelId="{9EC85F79-9931-439A-9177-CF895DDC0BE5}" type="presParOf" srcId="{96AA4CBD-72D6-4351-ABB2-9D31A80BB34E}" destId="{2073275C-6EA1-4F92-B6FB-B20E277A12E7}" srcOrd="0" destOrd="0" presId="urn:microsoft.com/office/officeart/2005/8/layout/orgChart1"/>
    <dgm:cxn modelId="{1CB96945-E2B6-45F0-AC8A-421F0596F4A0}" type="presParOf" srcId="{96AA4CBD-72D6-4351-ABB2-9D31A80BB34E}" destId="{48050546-2907-4D24-98EF-50173A03C971}" srcOrd="1" destOrd="0" presId="urn:microsoft.com/office/officeart/2005/8/layout/orgChart1"/>
    <dgm:cxn modelId="{B7D309C6-3987-4CF4-9747-D39A78ACF160}" type="presParOf" srcId="{48050546-2907-4D24-98EF-50173A03C971}" destId="{2E185D1C-C3D2-4831-94FB-D8CD6B914AB0}" srcOrd="0" destOrd="0" presId="urn:microsoft.com/office/officeart/2005/8/layout/orgChart1"/>
    <dgm:cxn modelId="{7DAD8B82-C301-4962-960C-E46E2679AD1C}" type="presParOf" srcId="{2E185D1C-C3D2-4831-94FB-D8CD6B914AB0}" destId="{7F61029E-C62B-407F-81AA-282DBDBC6278}" srcOrd="0" destOrd="0" presId="urn:microsoft.com/office/officeart/2005/8/layout/orgChart1"/>
    <dgm:cxn modelId="{66BD2B02-8011-4F89-B209-A9BCB2452002}" type="presParOf" srcId="{2E185D1C-C3D2-4831-94FB-D8CD6B914AB0}" destId="{3C636421-AE1F-4725-9E20-C3C613095469}" srcOrd="1" destOrd="0" presId="urn:microsoft.com/office/officeart/2005/8/layout/orgChart1"/>
    <dgm:cxn modelId="{2856DE2F-7BDE-4579-9FC3-491D14151204}" type="presParOf" srcId="{48050546-2907-4D24-98EF-50173A03C971}" destId="{D494C4A5-9943-4C4B-AC88-ED30E24CC22C}" srcOrd="1" destOrd="0" presId="urn:microsoft.com/office/officeart/2005/8/layout/orgChart1"/>
    <dgm:cxn modelId="{1C72F18F-2D8E-4E70-B36A-11F2F6CBE2E8}" type="presParOf" srcId="{48050546-2907-4D24-98EF-50173A03C971}" destId="{8FA42CE2-7134-432F-8163-F868751B8D91}" srcOrd="2" destOrd="0" presId="urn:microsoft.com/office/officeart/2005/8/layout/orgChart1"/>
    <dgm:cxn modelId="{C844DB71-55C9-4826-8C72-1EBDA2353ED9}" type="presParOf" srcId="{96AA4CBD-72D6-4351-ABB2-9D31A80BB34E}" destId="{204525AC-FAF7-44ED-8C3B-017C1E3AD92B}" srcOrd="2" destOrd="0" presId="urn:microsoft.com/office/officeart/2005/8/layout/orgChart1"/>
    <dgm:cxn modelId="{B02C1FDA-57C7-4883-BCC2-A89E644377B1}" type="presParOf" srcId="{96AA4CBD-72D6-4351-ABB2-9D31A80BB34E}" destId="{82611F24-2D97-4538-B87F-5C07F331A4FA}" srcOrd="3" destOrd="0" presId="urn:microsoft.com/office/officeart/2005/8/layout/orgChart1"/>
    <dgm:cxn modelId="{CA2C654B-9141-4EA4-A3E9-146365CC9077}" type="presParOf" srcId="{82611F24-2D97-4538-B87F-5C07F331A4FA}" destId="{716B564A-84AA-4E3E-BC30-7D60F9F9B521}" srcOrd="0" destOrd="0" presId="urn:microsoft.com/office/officeart/2005/8/layout/orgChart1"/>
    <dgm:cxn modelId="{C256AE03-FF15-4432-8EB2-79157CA50DD1}" type="presParOf" srcId="{716B564A-84AA-4E3E-BC30-7D60F9F9B521}" destId="{4707B608-9B05-4B43-B224-63AEF7733054}" srcOrd="0" destOrd="0" presId="urn:microsoft.com/office/officeart/2005/8/layout/orgChart1"/>
    <dgm:cxn modelId="{A351BD6D-95B3-4734-AA9E-C2EC233CEEAF}" type="presParOf" srcId="{716B564A-84AA-4E3E-BC30-7D60F9F9B521}" destId="{81C7552B-2023-4A95-A0FB-5165A58CD69A}" srcOrd="1" destOrd="0" presId="urn:microsoft.com/office/officeart/2005/8/layout/orgChart1"/>
    <dgm:cxn modelId="{3B5BA27A-426C-4DB5-BEE3-AA0292C18149}" type="presParOf" srcId="{82611F24-2D97-4538-B87F-5C07F331A4FA}" destId="{FBE983C5-18CA-4713-BFF7-07348154E9EC}" srcOrd="1" destOrd="0" presId="urn:microsoft.com/office/officeart/2005/8/layout/orgChart1"/>
    <dgm:cxn modelId="{AAF46E7C-580F-4FBE-B64E-F126F663FBFA}" type="presParOf" srcId="{FBE983C5-18CA-4713-BFF7-07348154E9EC}" destId="{D83EAF60-2502-40E6-A653-8990F64C4B4A}" srcOrd="0" destOrd="0" presId="urn:microsoft.com/office/officeart/2005/8/layout/orgChart1"/>
    <dgm:cxn modelId="{D2AD9F38-CDF6-4751-A568-754F3BD2698B}" type="presParOf" srcId="{FBE983C5-18CA-4713-BFF7-07348154E9EC}" destId="{B9EDBDD0-28A8-4428-B1A7-9B374D1209B9}" srcOrd="1" destOrd="0" presId="urn:microsoft.com/office/officeart/2005/8/layout/orgChart1"/>
    <dgm:cxn modelId="{48B8CBAD-0DDB-4209-83CB-D24E2DF4E2A8}" type="presParOf" srcId="{B9EDBDD0-28A8-4428-B1A7-9B374D1209B9}" destId="{6B527C59-9C1C-4E30-A1BA-BB2080DFA611}" srcOrd="0" destOrd="0" presId="urn:microsoft.com/office/officeart/2005/8/layout/orgChart1"/>
    <dgm:cxn modelId="{7425C577-B7EC-4EA3-916B-C75E67864AA6}" type="presParOf" srcId="{6B527C59-9C1C-4E30-A1BA-BB2080DFA611}" destId="{BB845F68-FB12-422F-9CD6-851475772EC8}" srcOrd="0" destOrd="0" presId="urn:microsoft.com/office/officeart/2005/8/layout/orgChart1"/>
    <dgm:cxn modelId="{EC383041-026E-4197-928C-27003C1A394D}" type="presParOf" srcId="{6B527C59-9C1C-4E30-A1BA-BB2080DFA611}" destId="{F81DDA90-EBE0-4D2B-A808-A0A89DBC5035}" srcOrd="1" destOrd="0" presId="urn:microsoft.com/office/officeart/2005/8/layout/orgChart1"/>
    <dgm:cxn modelId="{C1D6F2A2-4B3B-4319-9D21-57D0D40D3E71}" type="presParOf" srcId="{B9EDBDD0-28A8-4428-B1A7-9B374D1209B9}" destId="{3650ADF4-3F27-4F73-BC73-C3627F61FA3C}" srcOrd="1" destOrd="0" presId="urn:microsoft.com/office/officeart/2005/8/layout/orgChart1"/>
    <dgm:cxn modelId="{6B2F26EB-A647-4E90-ACF2-E191E41DA15F}" type="presParOf" srcId="{B9EDBDD0-28A8-4428-B1A7-9B374D1209B9}" destId="{FB360D78-BA9E-4010-82A7-15ACAE9774F9}" srcOrd="2" destOrd="0" presId="urn:microsoft.com/office/officeart/2005/8/layout/orgChart1"/>
    <dgm:cxn modelId="{9324A97A-AF2B-48AD-A275-9D46AA031E4A}" type="presParOf" srcId="{FBE983C5-18CA-4713-BFF7-07348154E9EC}" destId="{4E2E7A8C-E5EC-40AC-9F65-6C566B883F63}" srcOrd="2" destOrd="0" presId="urn:microsoft.com/office/officeart/2005/8/layout/orgChart1"/>
    <dgm:cxn modelId="{A3FA41D9-4644-424C-95FB-C6AFAD58CB21}" type="presParOf" srcId="{FBE983C5-18CA-4713-BFF7-07348154E9EC}" destId="{B9FDBC63-A3D8-42B6-9C32-8B92F70C0985}" srcOrd="3" destOrd="0" presId="urn:microsoft.com/office/officeart/2005/8/layout/orgChart1"/>
    <dgm:cxn modelId="{AF94D23A-1D04-448F-8DD2-1900973E39AF}" type="presParOf" srcId="{B9FDBC63-A3D8-42B6-9C32-8B92F70C0985}" destId="{CF563A48-8CAF-4D32-8FDE-321D9D1E6210}" srcOrd="0" destOrd="0" presId="urn:microsoft.com/office/officeart/2005/8/layout/orgChart1"/>
    <dgm:cxn modelId="{63168F25-84F5-4803-AA1B-C5C4C0CAEC68}" type="presParOf" srcId="{CF563A48-8CAF-4D32-8FDE-321D9D1E6210}" destId="{05972010-922E-43D0-89A8-89EA10E9CB51}" srcOrd="0" destOrd="0" presId="urn:microsoft.com/office/officeart/2005/8/layout/orgChart1"/>
    <dgm:cxn modelId="{ABFB63C2-EAC3-47AF-8344-CF03B7D9DE3D}" type="presParOf" srcId="{CF563A48-8CAF-4D32-8FDE-321D9D1E6210}" destId="{F8F26E1B-8EE5-4B52-9C24-ECC3C063A139}" srcOrd="1" destOrd="0" presId="urn:microsoft.com/office/officeart/2005/8/layout/orgChart1"/>
    <dgm:cxn modelId="{1DFBC8FF-ADE3-4FB7-B4F4-EB8DE23ECE3A}" type="presParOf" srcId="{B9FDBC63-A3D8-42B6-9C32-8B92F70C0985}" destId="{73605E35-07E2-441E-9BEA-4319810C834D}" srcOrd="1" destOrd="0" presId="urn:microsoft.com/office/officeart/2005/8/layout/orgChart1"/>
    <dgm:cxn modelId="{AB777B75-611C-445F-9533-87F9E13F69AD}" type="presParOf" srcId="{B9FDBC63-A3D8-42B6-9C32-8B92F70C0985}" destId="{A181674D-F512-49ED-A4AE-4B9876F56BAF}" srcOrd="2" destOrd="0" presId="urn:microsoft.com/office/officeart/2005/8/layout/orgChart1"/>
    <dgm:cxn modelId="{CEC096AD-4994-4E76-8B1B-C4525604F035}" type="presParOf" srcId="{FBE983C5-18CA-4713-BFF7-07348154E9EC}" destId="{13B55554-6240-486F-93D2-AEAB7A7CCC62}" srcOrd="4" destOrd="0" presId="urn:microsoft.com/office/officeart/2005/8/layout/orgChart1"/>
    <dgm:cxn modelId="{549C9090-2CDD-4E84-A2A4-0AAB0F12ED75}" type="presParOf" srcId="{FBE983C5-18CA-4713-BFF7-07348154E9EC}" destId="{72973B1C-B648-4929-8518-CC2C531C6262}" srcOrd="5" destOrd="0" presId="urn:microsoft.com/office/officeart/2005/8/layout/orgChart1"/>
    <dgm:cxn modelId="{9E6723C6-1618-4384-A1AF-C3637821E2A4}" type="presParOf" srcId="{72973B1C-B648-4929-8518-CC2C531C6262}" destId="{FBC97DEF-9A81-4E34-8AB2-C5AC3D82E762}" srcOrd="0" destOrd="0" presId="urn:microsoft.com/office/officeart/2005/8/layout/orgChart1"/>
    <dgm:cxn modelId="{59D517CD-8631-4CFA-80A7-8A766DE8DCF7}" type="presParOf" srcId="{FBC97DEF-9A81-4E34-8AB2-C5AC3D82E762}" destId="{B0F87F37-9E74-46E7-BDA4-9C9C49CBD722}" srcOrd="0" destOrd="0" presId="urn:microsoft.com/office/officeart/2005/8/layout/orgChart1"/>
    <dgm:cxn modelId="{5F4B985F-AB9C-468C-A8AE-73E06948109F}" type="presParOf" srcId="{FBC97DEF-9A81-4E34-8AB2-C5AC3D82E762}" destId="{272A5868-122C-49A7-8ED2-D3B87549F716}" srcOrd="1" destOrd="0" presId="urn:microsoft.com/office/officeart/2005/8/layout/orgChart1"/>
    <dgm:cxn modelId="{14B1F8F9-B65E-47FC-B2F7-54BEA0624A60}" type="presParOf" srcId="{72973B1C-B648-4929-8518-CC2C531C6262}" destId="{0F755458-1210-4802-BE26-1AFD114763B6}" srcOrd="1" destOrd="0" presId="urn:microsoft.com/office/officeart/2005/8/layout/orgChart1"/>
    <dgm:cxn modelId="{5830CBFC-233D-408F-8815-688DAECF7089}" type="presParOf" srcId="{72973B1C-B648-4929-8518-CC2C531C6262}" destId="{7B6B9E11-6FBD-4185-BB6D-EC7485353063}" srcOrd="2" destOrd="0" presId="urn:microsoft.com/office/officeart/2005/8/layout/orgChart1"/>
    <dgm:cxn modelId="{26D7146A-5A36-4F8D-A34F-25F2AE2E9F2F}" type="presParOf" srcId="{82611F24-2D97-4538-B87F-5C07F331A4FA}" destId="{31CEB99D-BA48-415C-9FD7-9BD25B799181}" srcOrd="2" destOrd="0" presId="urn:microsoft.com/office/officeart/2005/8/layout/orgChart1"/>
    <dgm:cxn modelId="{C6556CE8-103D-4D4A-9064-53D2E9DF8423}" type="presParOf" srcId="{96AA4CBD-72D6-4351-ABB2-9D31A80BB34E}" destId="{88CD1014-7D6D-4C50-979A-C06EC2E01167}" srcOrd="4" destOrd="0" presId="urn:microsoft.com/office/officeart/2005/8/layout/orgChart1"/>
    <dgm:cxn modelId="{CF4F7F93-5E3A-449F-829C-67B645561DF1}" type="presParOf" srcId="{96AA4CBD-72D6-4351-ABB2-9D31A80BB34E}" destId="{07911153-548E-4787-A2C1-E3436ECD3D5C}" srcOrd="5" destOrd="0" presId="urn:microsoft.com/office/officeart/2005/8/layout/orgChart1"/>
    <dgm:cxn modelId="{59E00200-2C7C-4AA2-B4FC-3097664964F7}" type="presParOf" srcId="{07911153-548E-4787-A2C1-E3436ECD3D5C}" destId="{D22749C4-5569-4BED-A4E0-44FF33B5EB60}" srcOrd="0" destOrd="0" presId="urn:microsoft.com/office/officeart/2005/8/layout/orgChart1"/>
    <dgm:cxn modelId="{0B08E913-7094-42EB-980B-30FAF78A3712}" type="presParOf" srcId="{D22749C4-5569-4BED-A4E0-44FF33B5EB60}" destId="{29B08909-ACCA-46E1-8FC0-B9A524022A7A}" srcOrd="0" destOrd="0" presId="urn:microsoft.com/office/officeart/2005/8/layout/orgChart1"/>
    <dgm:cxn modelId="{00D36CD3-97ED-4E6C-89BF-899B5C172497}" type="presParOf" srcId="{D22749C4-5569-4BED-A4E0-44FF33B5EB60}" destId="{4FA27DCE-B16F-440C-AB34-6160EB95A336}" srcOrd="1" destOrd="0" presId="urn:microsoft.com/office/officeart/2005/8/layout/orgChart1"/>
    <dgm:cxn modelId="{806D5C73-93BB-4B8F-A36C-DD94AFBF9DDE}" type="presParOf" srcId="{07911153-548E-4787-A2C1-E3436ECD3D5C}" destId="{8DE086C6-FD43-4E13-85B7-3508359B7A31}" srcOrd="1" destOrd="0" presId="urn:microsoft.com/office/officeart/2005/8/layout/orgChart1"/>
    <dgm:cxn modelId="{84F71CE9-3028-4CE6-8F95-FA5544DA981E}" type="presParOf" srcId="{8DE086C6-FD43-4E13-85B7-3508359B7A31}" destId="{C47522DF-5576-446F-8E82-512BEA6599BF}" srcOrd="0" destOrd="0" presId="urn:microsoft.com/office/officeart/2005/8/layout/orgChart1"/>
    <dgm:cxn modelId="{C8285DC3-B40C-4352-920C-C5FD506A9773}" type="presParOf" srcId="{8DE086C6-FD43-4E13-85B7-3508359B7A31}" destId="{20246884-C2BF-4DE8-BE0A-172A7B13D74C}" srcOrd="1" destOrd="0" presId="urn:microsoft.com/office/officeart/2005/8/layout/orgChart1"/>
    <dgm:cxn modelId="{8E163AF6-EA72-4FB6-BF78-16262081894E}" type="presParOf" srcId="{20246884-C2BF-4DE8-BE0A-172A7B13D74C}" destId="{3DFD9855-8BBC-4785-95C9-F44DE5FE9BA7}" srcOrd="0" destOrd="0" presId="urn:microsoft.com/office/officeart/2005/8/layout/orgChart1"/>
    <dgm:cxn modelId="{1205CDA7-1060-4BC6-AAD6-B0E7E536979E}" type="presParOf" srcId="{3DFD9855-8BBC-4785-95C9-F44DE5FE9BA7}" destId="{54211D11-E08D-4D8D-A538-28BA3DB0ED5D}" srcOrd="0" destOrd="0" presId="urn:microsoft.com/office/officeart/2005/8/layout/orgChart1"/>
    <dgm:cxn modelId="{FD6311D6-CBAB-4EF5-8452-9E5B38DE28BC}" type="presParOf" srcId="{3DFD9855-8BBC-4785-95C9-F44DE5FE9BA7}" destId="{3E04C2F0-9B7F-4C94-87B0-8727CEE62D3B}" srcOrd="1" destOrd="0" presId="urn:microsoft.com/office/officeart/2005/8/layout/orgChart1"/>
    <dgm:cxn modelId="{EB42B90E-1800-46A7-8EC6-C486816ACB81}" type="presParOf" srcId="{20246884-C2BF-4DE8-BE0A-172A7B13D74C}" destId="{3BD26AD7-6F48-4F0C-ABF9-4C4A189CCBAE}" srcOrd="1" destOrd="0" presId="urn:microsoft.com/office/officeart/2005/8/layout/orgChart1"/>
    <dgm:cxn modelId="{5F7AE271-E47B-4BF1-8A1A-AF076718A867}" type="presParOf" srcId="{20246884-C2BF-4DE8-BE0A-172A7B13D74C}" destId="{298F8E8E-0E27-4B18-9FF2-73424EEB64F2}" srcOrd="2" destOrd="0" presId="urn:microsoft.com/office/officeart/2005/8/layout/orgChart1"/>
    <dgm:cxn modelId="{5E3990C6-D5DF-4285-8E3D-C9AE3462E0FC}" type="presParOf" srcId="{8DE086C6-FD43-4E13-85B7-3508359B7A31}" destId="{8BB20C09-7002-4252-AF6C-4ACEAF4E6E83}" srcOrd="2" destOrd="0" presId="urn:microsoft.com/office/officeart/2005/8/layout/orgChart1"/>
    <dgm:cxn modelId="{167C0DC7-2A36-408D-8EB8-98EDCFE6AAA0}" type="presParOf" srcId="{8DE086C6-FD43-4E13-85B7-3508359B7A31}" destId="{31665631-DDC8-43F0-9EC9-155545219317}" srcOrd="3" destOrd="0" presId="urn:microsoft.com/office/officeart/2005/8/layout/orgChart1"/>
    <dgm:cxn modelId="{19F30BCE-D510-4B2F-8866-9A4FAA12F318}" type="presParOf" srcId="{31665631-DDC8-43F0-9EC9-155545219317}" destId="{8057DF0F-45E0-4E76-B60F-D946F91EB0F5}" srcOrd="0" destOrd="0" presId="urn:microsoft.com/office/officeart/2005/8/layout/orgChart1"/>
    <dgm:cxn modelId="{94BF726B-3E20-46DB-82D5-E6A96B3A1D4A}" type="presParOf" srcId="{8057DF0F-45E0-4E76-B60F-D946F91EB0F5}" destId="{02AB4C67-A206-41ED-BC86-CB189D497F1C}" srcOrd="0" destOrd="0" presId="urn:microsoft.com/office/officeart/2005/8/layout/orgChart1"/>
    <dgm:cxn modelId="{E8C7F86C-7B0F-46E0-A3A2-DE51B0D2EFA3}" type="presParOf" srcId="{8057DF0F-45E0-4E76-B60F-D946F91EB0F5}" destId="{E3DCB0BF-C1FC-4D27-84BA-E04D3A85D7EF}" srcOrd="1" destOrd="0" presId="urn:microsoft.com/office/officeart/2005/8/layout/orgChart1"/>
    <dgm:cxn modelId="{786BF911-7EDC-4923-9274-776346D95C39}" type="presParOf" srcId="{31665631-DDC8-43F0-9EC9-155545219317}" destId="{F3478960-33A3-4D9F-B744-338D2832EA9B}" srcOrd="1" destOrd="0" presId="urn:microsoft.com/office/officeart/2005/8/layout/orgChart1"/>
    <dgm:cxn modelId="{7AC93E36-EE91-4194-944D-7A11687BA30C}" type="presParOf" srcId="{31665631-DDC8-43F0-9EC9-155545219317}" destId="{33491C92-CA15-4969-B267-3C45E629D089}" srcOrd="2" destOrd="0" presId="urn:microsoft.com/office/officeart/2005/8/layout/orgChart1"/>
    <dgm:cxn modelId="{D43E47D6-89F9-4E8C-A5AC-8777968D3521}" type="presParOf" srcId="{07911153-548E-4787-A2C1-E3436ECD3D5C}" destId="{34D9873B-C35F-4DE3-A770-8B8A29D0AE42}" srcOrd="2" destOrd="0" presId="urn:microsoft.com/office/officeart/2005/8/layout/orgChart1"/>
    <dgm:cxn modelId="{846C7919-C007-4A70-8490-7679EFF144A0}" type="presParOf" srcId="{96AA4CBD-72D6-4351-ABB2-9D31A80BB34E}" destId="{0A50FB07-6CBE-430F-9DA2-21240FFA0D90}" srcOrd="6" destOrd="0" presId="urn:microsoft.com/office/officeart/2005/8/layout/orgChart1"/>
    <dgm:cxn modelId="{8ACFCBDE-BE83-4F87-B039-D22A254A9BBD}" type="presParOf" srcId="{96AA4CBD-72D6-4351-ABB2-9D31A80BB34E}" destId="{3E7701C5-48B3-4C67-867C-A8033CCDC6BA}" srcOrd="7" destOrd="0" presId="urn:microsoft.com/office/officeart/2005/8/layout/orgChart1"/>
    <dgm:cxn modelId="{E8DCEB4C-3F4F-46BF-BE0B-255DFCB4F002}" type="presParOf" srcId="{3E7701C5-48B3-4C67-867C-A8033CCDC6BA}" destId="{0B7680AA-0394-42D8-8211-573C92182FCB}" srcOrd="0" destOrd="0" presId="urn:microsoft.com/office/officeart/2005/8/layout/orgChart1"/>
    <dgm:cxn modelId="{408D6640-D200-4402-8B1E-97E49437211C}" type="presParOf" srcId="{0B7680AA-0394-42D8-8211-573C92182FCB}" destId="{FF055688-693F-4B19-828C-4B0CF6E8D203}" srcOrd="0" destOrd="0" presId="urn:microsoft.com/office/officeart/2005/8/layout/orgChart1"/>
    <dgm:cxn modelId="{93C3F85A-822B-4FB3-8C58-37F469D5FFA7}" type="presParOf" srcId="{0B7680AA-0394-42D8-8211-573C92182FCB}" destId="{9BA9F031-4462-4162-9C96-E8E7286C0675}" srcOrd="1" destOrd="0" presId="urn:microsoft.com/office/officeart/2005/8/layout/orgChart1"/>
    <dgm:cxn modelId="{EE166852-5085-4207-890B-A06792C9C46F}" type="presParOf" srcId="{3E7701C5-48B3-4C67-867C-A8033CCDC6BA}" destId="{85C5728A-B7A1-4EA4-AE4C-E69C09AE6AAB}" srcOrd="1" destOrd="0" presId="urn:microsoft.com/office/officeart/2005/8/layout/orgChart1"/>
    <dgm:cxn modelId="{C28F411E-14B2-437D-B157-857D437A25B7}" type="presParOf" srcId="{85C5728A-B7A1-4EA4-AE4C-E69C09AE6AAB}" destId="{AEAAF46E-B3B4-4908-BA1E-BA9FAAD6F494}" srcOrd="0" destOrd="0" presId="urn:microsoft.com/office/officeart/2005/8/layout/orgChart1"/>
    <dgm:cxn modelId="{F1443A7C-1C91-4B19-9E89-2C9918DCFE19}" type="presParOf" srcId="{85C5728A-B7A1-4EA4-AE4C-E69C09AE6AAB}" destId="{D8B6EB9E-168C-4B03-9D97-02A2E8D1CC62}" srcOrd="1" destOrd="0" presId="urn:microsoft.com/office/officeart/2005/8/layout/orgChart1"/>
    <dgm:cxn modelId="{C90DDB53-4464-413E-812E-7944C6FAC103}" type="presParOf" srcId="{D8B6EB9E-168C-4B03-9D97-02A2E8D1CC62}" destId="{772F8E0C-84B8-4DEF-B875-4D02BA44046E}" srcOrd="0" destOrd="0" presId="urn:microsoft.com/office/officeart/2005/8/layout/orgChart1"/>
    <dgm:cxn modelId="{FFBFFE2C-02BB-43CB-8BED-C3C0B253AD64}" type="presParOf" srcId="{772F8E0C-84B8-4DEF-B875-4D02BA44046E}" destId="{E3BD61B6-1347-4106-A2FF-0C449CE072A1}" srcOrd="0" destOrd="0" presId="urn:microsoft.com/office/officeart/2005/8/layout/orgChart1"/>
    <dgm:cxn modelId="{B66FFE7A-FBA9-4024-8772-CE7D4167A02A}" type="presParOf" srcId="{772F8E0C-84B8-4DEF-B875-4D02BA44046E}" destId="{CF6A44F9-C470-4D92-BBD5-43EF5938A796}" srcOrd="1" destOrd="0" presId="urn:microsoft.com/office/officeart/2005/8/layout/orgChart1"/>
    <dgm:cxn modelId="{778C8DEE-3311-458F-9830-90547BD5407E}" type="presParOf" srcId="{D8B6EB9E-168C-4B03-9D97-02A2E8D1CC62}" destId="{A7BE492B-1BF9-4A54-A754-FCC536776148}" srcOrd="1" destOrd="0" presId="urn:microsoft.com/office/officeart/2005/8/layout/orgChart1"/>
    <dgm:cxn modelId="{DCE6BF2B-8039-4100-B3DB-392CCDF47B61}" type="presParOf" srcId="{D8B6EB9E-168C-4B03-9D97-02A2E8D1CC62}" destId="{101BE8A4-DA44-4FF7-9D7A-A02A7A916455}" srcOrd="2" destOrd="0" presId="urn:microsoft.com/office/officeart/2005/8/layout/orgChart1"/>
    <dgm:cxn modelId="{E64DF778-D262-4095-B3FD-C18AD230C940}" type="presParOf" srcId="{85C5728A-B7A1-4EA4-AE4C-E69C09AE6AAB}" destId="{F58B4C1B-4D73-451B-AFA6-754493AE70F5}" srcOrd="2" destOrd="0" presId="urn:microsoft.com/office/officeart/2005/8/layout/orgChart1"/>
    <dgm:cxn modelId="{AE4C1011-39CF-4888-BF0D-E4CFE015F96B}" type="presParOf" srcId="{85C5728A-B7A1-4EA4-AE4C-E69C09AE6AAB}" destId="{DF73E2F2-303C-4624-B7F4-C5CAF8D083F5}" srcOrd="3" destOrd="0" presId="urn:microsoft.com/office/officeart/2005/8/layout/orgChart1"/>
    <dgm:cxn modelId="{EF23BE32-65FA-4E07-9D7C-6BED8353B371}" type="presParOf" srcId="{DF73E2F2-303C-4624-B7F4-C5CAF8D083F5}" destId="{3001153B-D156-4941-8C1D-8B8FCCBB5E14}" srcOrd="0" destOrd="0" presId="urn:microsoft.com/office/officeart/2005/8/layout/orgChart1"/>
    <dgm:cxn modelId="{C0272F73-9ACC-4137-BC06-9244FE2748B1}" type="presParOf" srcId="{3001153B-D156-4941-8C1D-8B8FCCBB5E14}" destId="{08024D72-CC3D-4A30-8CE1-7CA6697D046E}" srcOrd="0" destOrd="0" presId="urn:microsoft.com/office/officeart/2005/8/layout/orgChart1"/>
    <dgm:cxn modelId="{C23B7DC9-4FFE-4F15-A20E-4116ADAB786D}" type="presParOf" srcId="{3001153B-D156-4941-8C1D-8B8FCCBB5E14}" destId="{A5B392C8-981C-48D7-AA42-8F4E4DE05DB4}" srcOrd="1" destOrd="0" presId="urn:microsoft.com/office/officeart/2005/8/layout/orgChart1"/>
    <dgm:cxn modelId="{90920A30-A1C9-4C5B-99FB-020CAA725E7A}" type="presParOf" srcId="{DF73E2F2-303C-4624-B7F4-C5CAF8D083F5}" destId="{5500CE7E-BBB6-466B-B536-F229E6461CD3}" srcOrd="1" destOrd="0" presId="urn:microsoft.com/office/officeart/2005/8/layout/orgChart1"/>
    <dgm:cxn modelId="{F3B6DB8C-CF18-4683-A484-CEA7D58AE0B7}" type="presParOf" srcId="{DF73E2F2-303C-4624-B7F4-C5CAF8D083F5}" destId="{23D5A0A3-A137-4525-8105-00D9409D922E}" srcOrd="2" destOrd="0" presId="urn:microsoft.com/office/officeart/2005/8/layout/orgChart1"/>
    <dgm:cxn modelId="{FE9E0FC8-1795-4161-BC40-61806DC3D62C}" type="presParOf" srcId="{85C5728A-B7A1-4EA4-AE4C-E69C09AE6AAB}" destId="{C8908EC6-FE86-4879-B8C8-8C30F0B2E373}" srcOrd="4" destOrd="0" presId="urn:microsoft.com/office/officeart/2005/8/layout/orgChart1"/>
    <dgm:cxn modelId="{09498EEB-696A-47E8-A257-395FD74D9181}" type="presParOf" srcId="{85C5728A-B7A1-4EA4-AE4C-E69C09AE6AAB}" destId="{6FF66598-9ADA-450A-B6CE-D3B367D8DDA7}" srcOrd="5" destOrd="0" presId="urn:microsoft.com/office/officeart/2005/8/layout/orgChart1"/>
    <dgm:cxn modelId="{11FE2641-CC13-4602-A8A0-48DF5556D600}" type="presParOf" srcId="{6FF66598-9ADA-450A-B6CE-D3B367D8DDA7}" destId="{1DFC3A91-F395-4582-AF44-A96BA831902B}" srcOrd="0" destOrd="0" presId="urn:microsoft.com/office/officeart/2005/8/layout/orgChart1"/>
    <dgm:cxn modelId="{EF94D86C-5491-4F8F-924E-1DCA1A9B5D59}" type="presParOf" srcId="{1DFC3A91-F395-4582-AF44-A96BA831902B}" destId="{D3D7CAE6-ED16-4AEB-994D-0549784ED378}" srcOrd="0" destOrd="0" presId="urn:microsoft.com/office/officeart/2005/8/layout/orgChart1"/>
    <dgm:cxn modelId="{1C004AFB-8CB8-4076-9A57-79AD9F3A7694}" type="presParOf" srcId="{1DFC3A91-F395-4582-AF44-A96BA831902B}" destId="{4AC0B413-C93B-43BB-8CD1-C94AAAD00135}" srcOrd="1" destOrd="0" presId="urn:microsoft.com/office/officeart/2005/8/layout/orgChart1"/>
    <dgm:cxn modelId="{CAC382F2-8753-4651-B4FB-DF1E4C005828}" type="presParOf" srcId="{6FF66598-9ADA-450A-B6CE-D3B367D8DDA7}" destId="{72FEA95A-175F-4082-8133-382F20288B6E}" srcOrd="1" destOrd="0" presId="urn:microsoft.com/office/officeart/2005/8/layout/orgChart1"/>
    <dgm:cxn modelId="{C1316870-58C3-4411-BD33-419FF95F2C4B}" type="presParOf" srcId="{6FF66598-9ADA-450A-B6CE-D3B367D8DDA7}" destId="{1E076340-0109-4F8D-88DD-25E47E687DEA}" srcOrd="2" destOrd="0" presId="urn:microsoft.com/office/officeart/2005/8/layout/orgChart1"/>
    <dgm:cxn modelId="{E8EB9339-1518-4C9F-9BEF-2950339C38A4}" type="presParOf" srcId="{3E7701C5-48B3-4C67-867C-A8033CCDC6BA}" destId="{8C2FC09D-F089-4E79-8ACE-A758B545C860}" srcOrd="2" destOrd="0" presId="urn:microsoft.com/office/officeart/2005/8/layout/orgChart1"/>
    <dgm:cxn modelId="{7FBDB3E9-B4BC-4F33-B088-D3642373D2A4}" type="presParOf" srcId="{14C3AF09-461C-4A70-9A39-03560F65975E}" destId="{D8665EAC-93B2-4B03-874D-BD6D0EB445E6}" srcOrd="2" destOrd="0" presId="urn:microsoft.com/office/officeart/2005/8/layout/orgChart1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C8908EC6-FE86-4879-B8C8-8C30F0B2E373}">
      <dsp:nvSpPr>
        <dsp:cNvPr id="0" name=""/>
        <dsp:cNvSpPr/>
      </dsp:nvSpPr>
      <dsp:spPr>
        <a:xfrm>
          <a:off x="7019752" y="2141591"/>
          <a:ext cx="265129" cy="332295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322955"/>
              </a:lnTo>
              <a:lnTo>
                <a:pt x="265129" y="3322955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58B4C1B-4D73-451B-AFA6-754493AE70F5}">
      <dsp:nvSpPr>
        <dsp:cNvPr id="0" name=""/>
        <dsp:cNvSpPr/>
      </dsp:nvSpPr>
      <dsp:spPr>
        <a:xfrm>
          <a:off x="7019752" y="2141591"/>
          <a:ext cx="265129" cy="206800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068009"/>
              </a:lnTo>
              <a:lnTo>
                <a:pt x="265129" y="2068009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EAAF46E-B3B4-4908-BA1E-BA9FAAD6F494}">
      <dsp:nvSpPr>
        <dsp:cNvPr id="0" name=""/>
        <dsp:cNvSpPr/>
      </dsp:nvSpPr>
      <dsp:spPr>
        <a:xfrm>
          <a:off x="7019752" y="2141591"/>
          <a:ext cx="265129" cy="81306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13063"/>
              </a:lnTo>
              <a:lnTo>
                <a:pt x="265129" y="81306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0A50FB07-6CBE-430F-9DA2-21240FFA0D90}">
      <dsp:nvSpPr>
        <dsp:cNvPr id="0" name=""/>
        <dsp:cNvSpPr/>
      </dsp:nvSpPr>
      <dsp:spPr>
        <a:xfrm>
          <a:off x="4518698" y="886645"/>
          <a:ext cx="3208065" cy="37118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5590"/>
              </a:lnTo>
              <a:lnTo>
                <a:pt x="3208065" y="185590"/>
              </a:lnTo>
              <a:lnTo>
                <a:pt x="3208065" y="371181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BB20C09-7002-4252-AF6C-4ACEAF4E6E83}">
      <dsp:nvSpPr>
        <dsp:cNvPr id="0" name=""/>
        <dsp:cNvSpPr/>
      </dsp:nvSpPr>
      <dsp:spPr>
        <a:xfrm>
          <a:off x="4881042" y="2141591"/>
          <a:ext cx="265129" cy="206800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068009"/>
              </a:lnTo>
              <a:lnTo>
                <a:pt x="265129" y="2068009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47522DF-5576-446F-8E82-512BEA6599BF}">
      <dsp:nvSpPr>
        <dsp:cNvPr id="0" name=""/>
        <dsp:cNvSpPr/>
      </dsp:nvSpPr>
      <dsp:spPr>
        <a:xfrm>
          <a:off x="4881042" y="2141591"/>
          <a:ext cx="265129" cy="81306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13063"/>
              </a:lnTo>
              <a:lnTo>
                <a:pt x="265129" y="81306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88CD1014-7D6D-4C50-979A-C06EC2E01167}">
      <dsp:nvSpPr>
        <dsp:cNvPr id="0" name=""/>
        <dsp:cNvSpPr/>
      </dsp:nvSpPr>
      <dsp:spPr>
        <a:xfrm>
          <a:off x="4518698" y="886645"/>
          <a:ext cx="1069355" cy="37118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85590"/>
              </a:lnTo>
              <a:lnTo>
                <a:pt x="1069355" y="185590"/>
              </a:lnTo>
              <a:lnTo>
                <a:pt x="1069355" y="371181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3B55554-6240-486F-93D2-AEAB7A7CCC62}">
      <dsp:nvSpPr>
        <dsp:cNvPr id="0" name=""/>
        <dsp:cNvSpPr/>
      </dsp:nvSpPr>
      <dsp:spPr>
        <a:xfrm>
          <a:off x="2742331" y="2141591"/>
          <a:ext cx="265129" cy="3322955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322955"/>
              </a:lnTo>
              <a:lnTo>
                <a:pt x="265129" y="3322955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4E2E7A8C-E5EC-40AC-9F65-6C566B883F63}">
      <dsp:nvSpPr>
        <dsp:cNvPr id="0" name=""/>
        <dsp:cNvSpPr/>
      </dsp:nvSpPr>
      <dsp:spPr>
        <a:xfrm>
          <a:off x="2742331" y="2141591"/>
          <a:ext cx="265129" cy="206800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2068009"/>
              </a:lnTo>
              <a:lnTo>
                <a:pt x="265129" y="2068009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D83EAF60-2502-40E6-A653-8990F64C4B4A}">
      <dsp:nvSpPr>
        <dsp:cNvPr id="0" name=""/>
        <dsp:cNvSpPr/>
      </dsp:nvSpPr>
      <dsp:spPr>
        <a:xfrm>
          <a:off x="2742331" y="2141591"/>
          <a:ext cx="265129" cy="81306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813063"/>
              </a:lnTo>
              <a:lnTo>
                <a:pt x="265129" y="813063"/>
              </a:lnTo>
            </a:path>
          </a:pathLst>
        </a:custGeom>
        <a:noFill/>
        <a:ln w="12700" cap="flat" cmpd="sng" algn="ctr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04525AC-FAF7-44ED-8C3B-017C1E3AD92B}">
      <dsp:nvSpPr>
        <dsp:cNvPr id="0" name=""/>
        <dsp:cNvSpPr/>
      </dsp:nvSpPr>
      <dsp:spPr>
        <a:xfrm>
          <a:off x="3449343" y="886645"/>
          <a:ext cx="1069355" cy="371181"/>
        </a:xfrm>
        <a:custGeom>
          <a:avLst/>
          <a:gdLst/>
          <a:ahLst/>
          <a:cxnLst/>
          <a:rect l="0" t="0" r="0" b="0"/>
          <a:pathLst>
            <a:path>
              <a:moveTo>
                <a:pt x="1069355" y="0"/>
              </a:moveTo>
              <a:lnTo>
                <a:pt x="1069355" y="185590"/>
              </a:lnTo>
              <a:lnTo>
                <a:pt x="0" y="185590"/>
              </a:lnTo>
              <a:lnTo>
                <a:pt x="0" y="371181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2073275C-6EA1-4F92-B6FB-B20E277A12E7}">
      <dsp:nvSpPr>
        <dsp:cNvPr id="0" name=""/>
        <dsp:cNvSpPr/>
      </dsp:nvSpPr>
      <dsp:spPr>
        <a:xfrm>
          <a:off x="1310633" y="886645"/>
          <a:ext cx="3208065" cy="371181"/>
        </a:xfrm>
        <a:custGeom>
          <a:avLst/>
          <a:gdLst/>
          <a:ahLst/>
          <a:cxnLst/>
          <a:rect l="0" t="0" r="0" b="0"/>
          <a:pathLst>
            <a:path>
              <a:moveTo>
                <a:pt x="3208065" y="0"/>
              </a:moveTo>
              <a:lnTo>
                <a:pt x="3208065" y="185590"/>
              </a:lnTo>
              <a:lnTo>
                <a:pt x="0" y="185590"/>
              </a:lnTo>
              <a:lnTo>
                <a:pt x="0" y="371181"/>
              </a:lnTo>
            </a:path>
          </a:pathLst>
        </a:custGeom>
        <a:noFill/>
        <a:ln w="12700" cap="flat" cmpd="sng" algn="ctr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3D165F57-086A-42F4-87BD-6215BE70A14D}">
      <dsp:nvSpPr>
        <dsp:cNvPr id="0" name=""/>
        <dsp:cNvSpPr/>
      </dsp:nvSpPr>
      <dsp:spPr>
        <a:xfrm>
          <a:off x="3634934" y="2881"/>
          <a:ext cx="1767529" cy="88376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600" kern="1200"/>
            <a:t>Moto</a:t>
          </a: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600" kern="1200"/>
            <a:t>Qu=1</a:t>
          </a: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600" kern="1200"/>
            <a:t>LT=3</a:t>
          </a:r>
        </a:p>
      </dsp:txBody>
      <dsp:txXfrm>
        <a:off x="3634934" y="2881"/>
        <a:ext cx="1767529" cy="883764"/>
      </dsp:txXfrm>
    </dsp:sp>
    <dsp:sp modelId="{7F61029E-C62B-407F-81AA-282DBDBC6278}">
      <dsp:nvSpPr>
        <dsp:cNvPr id="0" name=""/>
        <dsp:cNvSpPr/>
      </dsp:nvSpPr>
      <dsp:spPr>
        <a:xfrm>
          <a:off x="426868" y="1257826"/>
          <a:ext cx="1767529" cy="88376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600" kern="1200"/>
            <a:t>Gomme</a:t>
          </a: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600" kern="1200"/>
            <a:t>Qu=2</a:t>
          </a: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600" kern="1200"/>
            <a:t>LT=1</a:t>
          </a:r>
        </a:p>
      </dsp:txBody>
      <dsp:txXfrm>
        <a:off x="426868" y="1257826"/>
        <a:ext cx="1767529" cy="883764"/>
      </dsp:txXfrm>
    </dsp:sp>
    <dsp:sp modelId="{4707B608-9B05-4B43-B224-63AEF7733054}">
      <dsp:nvSpPr>
        <dsp:cNvPr id="0" name=""/>
        <dsp:cNvSpPr/>
      </dsp:nvSpPr>
      <dsp:spPr>
        <a:xfrm>
          <a:off x="2565578" y="1257826"/>
          <a:ext cx="1767529" cy="88376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600" kern="1200"/>
            <a:t>Motore</a:t>
          </a: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600" kern="1200"/>
            <a:t>Qu=1</a:t>
          </a: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600" kern="1200"/>
            <a:t>LT=4</a:t>
          </a:r>
        </a:p>
      </dsp:txBody>
      <dsp:txXfrm>
        <a:off x="2565578" y="1257826"/>
        <a:ext cx="1767529" cy="883764"/>
      </dsp:txXfrm>
    </dsp:sp>
    <dsp:sp modelId="{BB845F68-FB12-422F-9CD6-851475772EC8}">
      <dsp:nvSpPr>
        <dsp:cNvPr id="0" name=""/>
        <dsp:cNvSpPr/>
      </dsp:nvSpPr>
      <dsp:spPr>
        <a:xfrm>
          <a:off x="3007461" y="2512772"/>
          <a:ext cx="1767529" cy="88376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600" kern="1200"/>
            <a:t>Cilindrata</a:t>
          </a: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600" kern="1200"/>
            <a:t>Qu=4</a:t>
          </a: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600" kern="1200"/>
            <a:t>LT=2</a:t>
          </a:r>
        </a:p>
      </dsp:txBody>
      <dsp:txXfrm>
        <a:off x="3007461" y="2512772"/>
        <a:ext cx="1767529" cy="883764"/>
      </dsp:txXfrm>
    </dsp:sp>
    <dsp:sp modelId="{05972010-922E-43D0-89A8-89EA10E9CB51}">
      <dsp:nvSpPr>
        <dsp:cNvPr id="0" name=""/>
        <dsp:cNvSpPr/>
      </dsp:nvSpPr>
      <dsp:spPr>
        <a:xfrm>
          <a:off x="3007461" y="3767718"/>
          <a:ext cx="1767529" cy="88376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600" kern="1200"/>
            <a:t>Valvole</a:t>
          </a: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600" kern="1200"/>
            <a:t>Qu=16</a:t>
          </a: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600" kern="1200"/>
            <a:t>LT=2</a:t>
          </a:r>
        </a:p>
      </dsp:txBody>
      <dsp:txXfrm>
        <a:off x="3007461" y="3767718"/>
        <a:ext cx="1767529" cy="883764"/>
      </dsp:txXfrm>
    </dsp:sp>
    <dsp:sp modelId="{B0F87F37-9E74-46E7-BDA4-9C9C49CBD722}">
      <dsp:nvSpPr>
        <dsp:cNvPr id="0" name=""/>
        <dsp:cNvSpPr/>
      </dsp:nvSpPr>
      <dsp:spPr>
        <a:xfrm>
          <a:off x="3007461" y="5022664"/>
          <a:ext cx="1767529" cy="88376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600" kern="1200"/>
            <a:t>Altro</a:t>
          </a: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600" kern="1200"/>
            <a:t>Qu=</a:t>
          </a: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600" kern="1200"/>
            <a:t>LT=2</a:t>
          </a:r>
        </a:p>
      </dsp:txBody>
      <dsp:txXfrm>
        <a:off x="3007461" y="5022664"/>
        <a:ext cx="1767529" cy="883764"/>
      </dsp:txXfrm>
    </dsp:sp>
    <dsp:sp modelId="{29B08909-ACCA-46E1-8FC0-B9A524022A7A}">
      <dsp:nvSpPr>
        <dsp:cNvPr id="0" name=""/>
        <dsp:cNvSpPr/>
      </dsp:nvSpPr>
      <dsp:spPr>
        <a:xfrm>
          <a:off x="4704289" y="1257826"/>
          <a:ext cx="1767529" cy="88376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600" kern="1200"/>
            <a:t>Sella</a:t>
          </a: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600" kern="1200"/>
            <a:t>Qu=1</a:t>
          </a: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600" kern="1200"/>
            <a:t>LT=2</a:t>
          </a:r>
        </a:p>
      </dsp:txBody>
      <dsp:txXfrm>
        <a:off x="4704289" y="1257826"/>
        <a:ext cx="1767529" cy="883764"/>
      </dsp:txXfrm>
    </dsp:sp>
    <dsp:sp modelId="{54211D11-E08D-4D8D-A538-28BA3DB0ED5D}">
      <dsp:nvSpPr>
        <dsp:cNvPr id="0" name=""/>
        <dsp:cNvSpPr/>
      </dsp:nvSpPr>
      <dsp:spPr>
        <a:xfrm>
          <a:off x="5146171" y="2512772"/>
          <a:ext cx="1767529" cy="88376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600" kern="1200"/>
            <a:t>Sedile</a:t>
          </a: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600" kern="1200"/>
            <a:t>Qu=1</a:t>
          </a: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600" kern="1200"/>
            <a:t>LT=1</a:t>
          </a:r>
        </a:p>
      </dsp:txBody>
      <dsp:txXfrm>
        <a:off x="5146171" y="2512772"/>
        <a:ext cx="1767529" cy="883764"/>
      </dsp:txXfrm>
    </dsp:sp>
    <dsp:sp modelId="{02AB4C67-A206-41ED-BC86-CB189D497F1C}">
      <dsp:nvSpPr>
        <dsp:cNvPr id="0" name=""/>
        <dsp:cNvSpPr/>
      </dsp:nvSpPr>
      <dsp:spPr>
        <a:xfrm>
          <a:off x="5146171" y="3767718"/>
          <a:ext cx="1767529" cy="88376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600" kern="1200"/>
            <a:t>Portacasco</a:t>
          </a: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600" kern="1200"/>
            <a:t>Qu=1</a:t>
          </a: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600" kern="1200"/>
            <a:t>LT=1</a:t>
          </a:r>
        </a:p>
      </dsp:txBody>
      <dsp:txXfrm>
        <a:off x="5146171" y="3767718"/>
        <a:ext cx="1767529" cy="883764"/>
      </dsp:txXfrm>
    </dsp:sp>
    <dsp:sp modelId="{FF055688-693F-4B19-828C-4B0CF6E8D203}">
      <dsp:nvSpPr>
        <dsp:cNvPr id="0" name=""/>
        <dsp:cNvSpPr/>
      </dsp:nvSpPr>
      <dsp:spPr>
        <a:xfrm>
          <a:off x="6842999" y="1257826"/>
          <a:ext cx="1767529" cy="88376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600" kern="1200"/>
            <a:t>Telaio</a:t>
          </a: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600" kern="1200"/>
            <a:t>Qu=1</a:t>
          </a: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600" kern="1200"/>
            <a:t>LT=3</a:t>
          </a:r>
        </a:p>
      </dsp:txBody>
      <dsp:txXfrm>
        <a:off x="6842999" y="1257826"/>
        <a:ext cx="1767529" cy="883764"/>
      </dsp:txXfrm>
    </dsp:sp>
    <dsp:sp modelId="{E3BD61B6-1347-4106-A2FF-0C449CE072A1}">
      <dsp:nvSpPr>
        <dsp:cNvPr id="0" name=""/>
        <dsp:cNvSpPr/>
      </dsp:nvSpPr>
      <dsp:spPr>
        <a:xfrm>
          <a:off x="7284882" y="2512772"/>
          <a:ext cx="1767529" cy="88376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600" kern="1200"/>
            <a:t>Scocca</a:t>
          </a: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600" kern="1200"/>
            <a:t>Qu=1</a:t>
          </a: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600" kern="1200"/>
            <a:t>LT=3</a:t>
          </a:r>
        </a:p>
      </dsp:txBody>
      <dsp:txXfrm>
        <a:off x="7284882" y="2512772"/>
        <a:ext cx="1767529" cy="883764"/>
      </dsp:txXfrm>
    </dsp:sp>
    <dsp:sp modelId="{08024D72-CC3D-4A30-8CE1-7CA6697D046E}">
      <dsp:nvSpPr>
        <dsp:cNvPr id="0" name=""/>
        <dsp:cNvSpPr/>
      </dsp:nvSpPr>
      <dsp:spPr>
        <a:xfrm>
          <a:off x="7284882" y="3767718"/>
          <a:ext cx="1767529" cy="88376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600" kern="1200"/>
            <a:t>Ammortizzatori</a:t>
          </a: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600" kern="1200"/>
            <a:t>Qu=1</a:t>
          </a: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600" kern="1200"/>
            <a:t>LT=1</a:t>
          </a:r>
        </a:p>
      </dsp:txBody>
      <dsp:txXfrm>
        <a:off x="7284882" y="3767718"/>
        <a:ext cx="1767529" cy="883764"/>
      </dsp:txXfrm>
    </dsp:sp>
    <dsp:sp modelId="{D3D7CAE6-ED16-4AEB-994D-0549784ED378}">
      <dsp:nvSpPr>
        <dsp:cNvPr id="0" name=""/>
        <dsp:cNvSpPr/>
      </dsp:nvSpPr>
      <dsp:spPr>
        <a:xfrm>
          <a:off x="7284882" y="5022664"/>
          <a:ext cx="1767529" cy="88376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10160" tIns="10160" rIns="10160" bIns="101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600" kern="1200"/>
            <a:t>Serbatoio</a:t>
          </a: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600" kern="1200"/>
            <a:t>Qu=1</a:t>
          </a:r>
        </a:p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it-IT" sz="1600" kern="1200"/>
            <a:t>LT=2</a:t>
          </a:r>
        </a:p>
      </dsp:txBody>
      <dsp:txXfrm>
        <a:off x="7284882" y="5022664"/>
        <a:ext cx="1767529" cy="883764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orgChart1">
  <dgm:title val=""/>
  <dgm:desc val=""/>
  <dgm:catLst>
    <dgm:cat type="hierarchy" pri="1000"/>
    <dgm:cat type="convert" pri="600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choose name="Name41">
                            <dgm:if name="Name42" axis="par des" func="maxDepth" op="lte" val="1">
                              <dgm:choose name="Name43">
                                <dgm:if name="Name44" axis="par ch" ptType="node asst" func="cnt" op="gte" val="1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</dgm:alg>
                                </dgm:if>
                                <dgm:else name="Name45">
                                  <dgm:alg type="conn">
                                    <dgm:param type="connRout" val="bend"/>
                                    <dgm:param type="dim" val="1D"/>
                                    <dgm:param type="endSty" val="noArr"/>
                                    <dgm:param type="begPts" val="bCtr"/>
                                    <dgm:param type="endPts" val="midL midR"/>
                                    <dgm:param type="srcNode" val="rootConnector"/>
                                  </dgm:alg>
                                </dgm:else>
                              </dgm:choose>
                            </dgm:if>
                            <dgm:else name="Name46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tCtr"/>
                                <dgm:param type="bendPt" val="end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7" func="var" arg="hierBranch" op="equ" val="hang">
                    <dgm:layoutNode name="Name48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9">
                    <dgm:layoutNode name="Name50">
                      <dgm:choose name="Name51">
                        <dgm:if name="Name52" axis="self" func="depth" op="lte" val="2">
                          <dgm:choose name="Name53">
                            <dgm:if name="Name54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5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6">
                          <dgm:choose name="Name57">
                            <dgm:if name="Name5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60">
                  <dgm:if name="Name61" func="var" arg="hierBranch" op="equ" val="l">
                    <dgm:choose name="Name62">
                      <dgm:if name="Name63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4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5" func="var" arg="hierBranch" op="equ" val="r">
                    <dgm:choose name="Name66">
                      <dgm:if name="Name67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8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9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70" func="var" arg="hierBranch" op="equ" val="init">
                    <dgm:choose name="Name71">
                      <dgm:if name="Name72" axis="des" func="maxDepth" op="lte" val="1">
                        <dgm:choose name="Name73">
                          <dgm:if name="Name74" axis="ch" ptType="asst" func="cnt" op="gte" val="1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65"/>
                            </dgm:constrLst>
                          </dgm:if>
                          <dgm:else name="Name75">
                            <dgm:alg type="hierRoot">
                              <dgm:param type="hierAlign" val="tL"/>
                            </dgm:alg>
                            <dgm:shape xmlns:r="http://schemas.openxmlformats.org/officeDocument/2006/relationships" r:blip="">
                              <dgm:adjLst/>
                            </dgm:shape>
                            <dgm:presOf/>
                            <dgm:constrLst>
                              <dgm:constr type="alignOff" val="0.25"/>
                            </dgm:constrLst>
                          </dgm:else>
                        </dgm:choose>
                      </dgm:if>
                      <dgm:else name="Name76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77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78">
                    <dgm:if name="Name79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0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81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82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83">
                    <dgm:if name="Name84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85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86" func="var" arg="hierBranch" op="equ" val="hang">
                      <dgm:choose name="Name87">
                        <dgm:if name="Name88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89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90" func="var" arg="hierBranch" op="equ" val="std">
                      <dgm:choose name="Name91">
                        <dgm:if name="Name92" func="var" arg="dir" op="equ" val="norm">
                          <dgm:alg type="hierChild"/>
                        </dgm:if>
                        <dgm:else name="Name93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94" func="var" arg="hierBranch" op="equ" val="init">
                      <dgm:choose name="Name95">
                        <dgm:if name="Name96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97">
                          <dgm:choose name="Name98">
                            <dgm:if name="Name99" func="var" arg="dir" op="equ" val="norm">
                              <dgm:alg type="hierChild"/>
                            </dgm:if>
                            <dgm:else name="Name100">
                              <dgm:alg type="hierChild">
                                <dgm:param type="linDir" val="fromR"/>
                              </dgm:alg>
                            </dgm:else>
                          </dgm:choose>
                        </dgm:else>
                      </dgm:choose>
                    </dgm:if>
                    <dgm:else name="Name10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2" ref="rep2a"/>
                </dgm:layoutNode>
                <dgm:layoutNode name="hierChild5">
                  <dgm:choose name="Name103">
                    <dgm:if name="Name10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0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06" ref="rep2b"/>
                </dgm:layoutNode>
              </dgm:layoutNode>
            </dgm:forEach>
          </dgm:layoutNode>
          <dgm:layoutNode name="hierChild3">
            <dgm:choose name="Name107">
              <dgm:if name="Name108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109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110" axis="precedSib" ptType="parTrans" st="-1" cnt="1">
                <dgm:layoutNode name="Name111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112">
                  <dgm:if name="Name113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4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5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16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17" func="var" arg="hierBranch" op="equ" val="init">
                    <dgm:choose name="Name118">
                      <dgm:if name="Name119" axis="des" func="maxDepth" op="l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120">
                        <dgm:alg type="hierRoot"/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/>
                          <dgm:constr type="bendDist" for="des" ptType="parTrans" refType="sp" fact="0.5"/>
                        </dgm:constrLst>
                      </dgm:else>
                    </dgm:choose>
                  </dgm:if>
                  <dgm:else name="Name121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22">
                    <dgm:if name="Name123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4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25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26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27">
                    <dgm:if name="Name128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29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30" func="var" arg="hierBranch" op="equ" val="hang">
                      <dgm:choose name="Name131">
                        <dgm:if name="Name132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33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34" func="var" arg="hierBranch" op="equ" val="std">
                      <dgm:choose name="Name135">
                        <dgm:if name="Name136" func="var" arg="dir" op="equ" val="norm">
                          <dgm:alg type="hierChild"/>
                        </dgm:if>
                        <dgm:else name="Name137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38" func="var" arg="hierBranch" op="equ" val="init">
                      <dgm:choose name="Name139">
                        <dgm:if name="Name140" axis="des" func="maxDepth" op="lte" val="1">
                          <dgm:alg type="hierChild">
                            <dgm:param type="chAlign" val="l"/>
                            <dgm:param type="linDir" val="fromT"/>
                          </dgm:alg>
                        </dgm:if>
                        <dgm:else name="Name141">
                          <dgm:alg type="hierChild"/>
                        </dgm:else>
                      </dgm:choose>
                    </dgm:if>
                    <dgm:else name="Name142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3" ref="rep2a"/>
                </dgm:layoutNode>
                <dgm:layoutNode name="hierChild7">
                  <dgm:choose name="Name144">
                    <dgm:if name="Name145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46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47" ref="rep2b"/>
                </dgm:layoutNode>
              </dgm:layoutNode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752475</xdr:colOff>
      <xdr:row>45</xdr:row>
      <xdr:rowOff>9525</xdr:rowOff>
    </xdr:from>
    <xdr:to>
      <xdr:col>17</xdr:col>
      <xdr:colOff>66675</xdr:colOff>
      <xdr:row>77</xdr:row>
      <xdr:rowOff>66675</xdr:rowOff>
    </xdr:to>
    <xdr:graphicFrame macro="">
      <xdr:nvGraphicFramePr>
        <xdr:cNvPr id="2" name="Diagramma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H34"/>
  <sheetViews>
    <sheetView tabSelected="1" zoomScaleNormal="100" workbookViewId="0">
      <selection activeCell="G39" sqref="G39"/>
    </sheetView>
  </sheetViews>
  <sheetFormatPr defaultRowHeight="14.4" x14ac:dyDescent="0.3"/>
  <cols>
    <col min="3" max="3" width="19.33203125" bestFit="1" customWidth="1"/>
    <col min="4" max="4" width="9.33203125" customWidth="1"/>
    <col min="5" max="5" width="25" bestFit="1" customWidth="1"/>
    <col min="7" max="7" width="13.5546875" bestFit="1" customWidth="1"/>
  </cols>
  <sheetData>
    <row r="3" spans="3:8" x14ac:dyDescent="0.3">
      <c r="C3" s="27" t="s">
        <v>0</v>
      </c>
      <c r="D3" s="28"/>
      <c r="E3" s="32"/>
      <c r="G3" s="1">
        <v>10</v>
      </c>
      <c r="H3" t="s">
        <v>14</v>
      </c>
    </row>
    <row r="5" spans="3:8" x14ac:dyDescent="0.3">
      <c r="C5" s="33" t="s">
        <v>1</v>
      </c>
      <c r="D5" s="34"/>
      <c r="E5" s="35" t="s">
        <v>19</v>
      </c>
      <c r="G5" s="2">
        <v>15000</v>
      </c>
    </row>
    <row r="6" spans="3:8" x14ac:dyDescent="0.3">
      <c r="C6" s="36"/>
      <c r="D6" s="11"/>
      <c r="E6" s="12" t="s">
        <v>18</v>
      </c>
      <c r="G6" s="2">
        <v>8000</v>
      </c>
    </row>
    <row r="7" spans="3:8" x14ac:dyDescent="0.3">
      <c r="C7" s="36"/>
      <c r="D7" s="11"/>
      <c r="E7" s="12" t="s">
        <v>9</v>
      </c>
      <c r="G7" s="2">
        <v>1500</v>
      </c>
    </row>
    <row r="8" spans="3:8" x14ac:dyDescent="0.3">
      <c r="C8" s="36" t="s">
        <v>2</v>
      </c>
      <c r="D8" s="11"/>
      <c r="E8" s="12" t="s">
        <v>21</v>
      </c>
      <c r="G8" s="2">
        <v>2500</v>
      </c>
    </row>
    <row r="9" spans="3:8" x14ac:dyDescent="0.3">
      <c r="C9" s="36"/>
      <c r="D9" s="11"/>
      <c r="E9" s="12" t="s">
        <v>11</v>
      </c>
      <c r="G9" s="2">
        <v>500</v>
      </c>
      <c r="H9" t="s">
        <v>13</v>
      </c>
    </row>
    <row r="10" spans="3:8" x14ac:dyDescent="0.3">
      <c r="C10" s="36"/>
      <c r="D10" s="11"/>
      <c r="E10" s="12" t="s">
        <v>10</v>
      </c>
      <c r="G10" s="2">
        <v>25</v>
      </c>
      <c r="H10" t="s">
        <v>13</v>
      </c>
    </row>
    <row r="11" spans="3:8" x14ac:dyDescent="0.3">
      <c r="C11" s="36"/>
      <c r="D11" s="11"/>
      <c r="E11" s="12" t="s">
        <v>12</v>
      </c>
      <c r="G11" s="2">
        <v>10</v>
      </c>
      <c r="H11" t="s">
        <v>13</v>
      </c>
    </row>
    <row r="12" spans="3:8" x14ac:dyDescent="0.3">
      <c r="C12" s="13"/>
      <c r="D12" s="14"/>
      <c r="E12" s="15" t="s">
        <v>20</v>
      </c>
      <c r="G12" s="2">
        <v>20</v>
      </c>
      <c r="H12" t="s">
        <v>13</v>
      </c>
    </row>
    <row r="15" spans="3:8" x14ac:dyDescent="0.3">
      <c r="C15" s="33" t="s">
        <v>3</v>
      </c>
      <c r="D15" s="34"/>
      <c r="E15" s="35" t="s">
        <v>22</v>
      </c>
      <c r="G15" s="2">
        <v>3000</v>
      </c>
    </row>
    <row r="16" spans="3:8" x14ac:dyDescent="0.3">
      <c r="C16" s="13" t="s">
        <v>4</v>
      </c>
      <c r="D16" s="14"/>
      <c r="E16" s="15" t="s">
        <v>23</v>
      </c>
      <c r="G16" s="2">
        <v>700</v>
      </c>
      <c r="H16" t="s">
        <v>13</v>
      </c>
    </row>
    <row r="17" spans="3:7" x14ac:dyDescent="0.3">
      <c r="G17" s="3"/>
    </row>
    <row r="18" spans="3:7" x14ac:dyDescent="0.3">
      <c r="G18" s="3"/>
    </row>
    <row r="19" spans="3:7" x14ac:dyDescent="0.3">
      <c r="C19" s="33" t="s">
        <v>5</v>
      </c>
      <c r="D19" s="34"/>
      <c r="E19" s="35"/>
      <c r="G19" s="3"/>
    </row>
    <row r="20" spans="3:7" x14ac:dyDescent="0.3">
      <c r="C20" s="36"/>
      <c r="D20" s="11"/>
      <c r="E20" s="12" t="s">
        <v>15</v>
      </c>
      <c r="G20" s="2">
        <f>G5+G6+G7+G8</f>
        <v>27000</v>
      </c>
    </row>
    <row r="21" spans="3:7" x14ac:dyDescent="0.3">
      <c r="C21" s="36"/>
      <c r="D21" s="11"/>
      <c r="E21" s="12" t="s">
        <v>17</v>
      </c>
      <c r="G21" s="2">
        <f>G9+G10+G11+G12</f>
        <v>555</v>
      </c>
    </row>
    <row r="22" spans="3:7" x14ac:dyDescent="0.3">
      <c r="C22" s="13"/>
      <c r="D22" s="14"/>
      <c r="E22" s="15" t="s">
        <v>16</v>
      </c>
      <c r="G22" s="2">
        <f>(G20+G21)*G3</f>
        <v>275550</v>
      </c>
    </row>
    <row r="23" spans="3:7" x14ac:dyDescent="0.3">
      <c r="G23" s="3"/>
    </row>
    <row r="24" spans="3:7" x14ac:dyDescent="0.3">
      <c r="C24" s="33" t="s">
        <v>6</v>
      </c>
      <c r="D24" s="34"/>
      <c r="E24" s="35"/>
      <c r="G24" s="3"/>
    </row>
    <row r="25" spans="3:7" x14ac:dyDescent="0.3">
      <c r="C25" s="36"/>
      <c r="D25" s="11"/>
      <c r="E25" s="12" t="s">
        <v>15</v>
      </c>
      <c r="G25" s="2">
        <f>G15</f>
        <v>3000</v>
      </c>
    </row>
    <row r="26" spans="3:7" x14ac:dyDescent="0.3">
      <c r="C26" s="36"/>
      <c r="D26" s="11"/>
      <c r="E26" s="12" t="s">
        <v>17</v>
      </c>
      <c r="G26" s="2">
        <f>G16</f>
        <v>700</v>
      </c>
    </row>
    <row r="27" spans="3:7" x14ac:dyDescent="0.3">
      <c r="C27" s="13"/>
      <c r="D27" s="14"/>
      <c r="E27" s="15" t="s">
        <v>16</v>
      </c>
      <c r="G27" s="2">
        <f>(G25+G26)*G3</f>
        <v>37000</v>
      </c>
    </row>
    <row r="32" spans="3:7" x14ac:dyDescent="0.3">
      <c r="C32" s="27" t="s">
        <v>7</v>
      </c>
      <c r="D32" s="28"/>
      <c r="E32" s="37">
        <f>G22-G27</f>
        <v>238550</v>
      </c>
      <c r="G32" s="38" t="str">
        <f>IF(E32&gt;0,"MAKE","BUY")</f>
        <v>MAKE</v>
      </c>
    </row>
    <row r="34" spans="3:5" x14ac:dyDescent="0.3">
      <c r="C34" s="27" t="s">
        <v>8</v>
      </c>
      <c r="D34" s="28"/>
      <c r="E34" s="37">
        <f>(G25-G20)/(G21-G26)</f>
        <v>165.51724137931035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L8"/>
  <sheetViews>
    <sheetView zoomScale="130" zoomScaleNormal="130" workbookViewId="0">
      <selection activeCell="C13" sqref="C13"/>
    </sheetView>
  </sheetViews>
  <sheetFormatPr defaultRowHeight="14.4" x14ac:dyDescent="0.3"/>
  <sheetData>
    <row r="3" spans="2:12" x14ac:dyDescent="0.3">
      <c r="B3" s="8" t="s">
        <v>24</v>
      </c>
      <c r="C3" s="9"/>
      <c r="D3" s="10"/>
      <c r="F3" s="16" t="s">
        <v>26</v>
      </c>
      <c r="G3" s="17"/>
      <c r="H3" s="18"/>
      <c r="J3" s="19" t="s">
        <v>27</v>
      </c>
      <c r="K3" s="20"/>
      <c r="L3" s="21"/>
    </row>
    <row r="4" spans="2:12" x14ac:dyDescent="0.3">
      <c r="B4" s="23">
        <f>F4+15</f>
        <v>45362</v>
      </c>
      <c r="C4" s="24"/>
      <c r="D4" s="24">
        <v>3</v>
      </c>
      <c r="F4" s="23">
        <v>45347</v>
      </c>
      <c r="G4" s="24"/>
      <c r="H4" s="24">
        <v>2</v>
      </c>
      <c r="J4" s="23">
        <f>B4+30</f>
        <v>45392</v>
      </c>
      <c r="K4" s="24"/>
      <c r="L4" s="24">
        <v>1</v>
      </c>
    </row>
    <row r="5" spans="2:12" x14ac:dyDescent="0.3">
      <c r="B5" s="23">
        <f>B4+15+10</f>
        <v>45387</v>
      </c>
      <c r="C5" s="24"/>
      <c r="D5" s="24">
        <v>3</v>
      </c>
      <c r="F5" s="23">
        <f>B5+10</f>
        <v>45397</v>
      </c>
      <c r="G5" s="24"/>
      <c r="H5" s="24">
        <v>2</v>
      </c>
      <c r="J5" s="23">
        <f>F5+45</f>
        <v>45442</v>
      </c>
      <c r="K5" s="24"/>
      <c r="L5" s="24">
        <v>1</v>
      </c>
    </row>
    <row r="6" spans="2:12" x14ac:dyDescent="0.3">
      <c r="B6" s="25" t="s">
        <v>25</v>
      </c>
      <c r="C6" s="25"/>
      <c r="D6" s="25"/>
      <c r="E6" s="22"/>
      <c r="F6" s="25" t="s">
        <v>25</v>
      </c>
      <c r="G6" s="25"/>
      <c r="H6" s="25"/>
      <c r="I6" s="22"/>
      <c r="J6" s="25" t="s">
        <v>25</v>
      </c>
      <c r="K6" s="26"/>
      <c r="L6" s="24"/>
    </row>
    <row r="8" spans="2:12" x14ac:dyDescent="0.3">
      <c r="B8" s="27" t="s">
        <v>28</v>
      </c>
      <c r="C8" s="28"/>
      <c r="D8" s="29">
        <f>F4</f>
        <v>45347</v>
      </c>
      <c r="E8" s="30" t="s">
        <v>29</v>
      </c>
      <c r="F8" s="31">
        <f>J5</f>
        <v>45442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U42"/>
  <sheetViews>
    <sheetView topLeftCell="A12" zoomScale="85" zoomScaleNormal="85" workbookViewId="0">
      <selection activeCell="L43" sqref="L43"/>
    </sheetView>
  </sheetViews>
  <sheetFormatPr defaultRowHeight="14.4" x14ac:dyDescent="0.3"/>
  <cols>
    <col min="2" max="2" width="14.88671875" bestFit="1" customWidth="1"/>
  </cols>
  <sheetData>
    <row r="2" spans="2:21" x14ac:dyDescent="0.3">
      <c r="B2" s="4" t="s">
        <v>30</v>
      </c>
      <c r="C2" s="4">
        <v>10</v>
      </c>
      <c r="D2" s="4" t="s">
        <v>31</v>
      </c>
      <c r="E2" s="4">
        <v>15</v>
      </c>
      <c r="F2" s="5" t="s">
        <v>32</v>
      </c>
    </row>
    <row r="4" spans="2:21" x14ac:dyDescent="0.3">
      <c r="C4" s="7" t="s">
        <v>33</v>
      </c>
      <c r="D4" s="7" t="s">
        <v>34</v>
      </c>
      <c r="E4" s="7" t="s">
        <v>35</v>
      </c>
      <c r="F4" s="4"/>
      <c r="G4" s="6">
        <v>1</v>
      </c>
      <c r="H4" s="6">
        <v>2</v>
      </c>
      <c r="I4" s="6">
        <v>3</v>
      </c>
      <c r="J4" s="6">
        <v>4</v>
      </c>
      <c r="K4" s="6">
        <v>5</v>
      </c>
      <c r="L4" s="6">
        <v>6</v>
      </c>
      <c r="M4" s="6">
        <v>7</v>
      </c>
      <c r="N4" s="6">
        <v>8</v>
      </c>
      <c r="O4" s="6">
        <v>9</v>
      </c>
      <c r="P4" s="6">
        <v>10</v>
      </c>
      <c r="Q4" s="6">
        <v>11</v>
      </c>
      <c r="R4" s="6">
        <v>12</v>
      </c>
      <c r="S4" s="6">
        <v>13</v>
      </c>
      <c r="T4" s="6">
        <v>14</v>
      </c>
      <c r="U4" s="6">
        <v>15</v>
      </c>
    </row>
    <row r="5" spans="2:21" x14ac:dyDescent="0.3">
      <c r="B5" t="s">
        <v>38</v>
      </c>
      <c r="C5" s="4">
        <v>1</v>
      </c>
      <c r="D5" s="4">
        <v>3</v>
      </c>
      <c r="E5" s="4"/>
      <c r="F5" t="s">
        <v>36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>
        <v>10</v>
      </c>
    </row>
    <row r="6" spans="2:21" x14ac:dyDescent="0.3">
      <c r="C6" s="4"/>
      <c r="D6" s="4"/>
      <c r="E6" s="4"/>
      <c r="F6" t="s">
        <v>37</v>
      </c>
      <c r="G6" s="7">
        <f t="shared" ref="G6:U6" ca="1" si="0">OFFSET(G5,0,LTmoto)</f>
        <v>0</v>
      </c>
      <c r="H6" s="7">
        <f t="shared" ca="1" si="0"/>
        <v>0</v>
      </c>
      <c r="I6" s="7">
        <f t="shared" ca="1" si="0"/>
        <v>0</v>
      </c>
      <c r="J6" s="7">
        <f t="shared" ca="1" si="0"/>
        <v>0</v>
      </c>
      <c r="K6" s="7">
        <f t="shared" ca="1" si="0"/>
        <v>0</v>
      </c>
      <c r="L6" s="7">
        <f t="shared" ca="1" si="0"/>
        <v>0</v>
      </c>
      <c r="M6" s="7">
        <f t="shared" ca="1" si="0"/>
        <v>0</v>
      </c>
      <c r="N6" s="7">
        <f t="shared" ca="1" si="0"/>
        <v>0</v>
      </c>
      <c r="O6" s="7">
        <f t="shared" ca="1" si="0"/>
        <v>0</v>
      </c>
      <c r="P6" s="7">
        <f t="shared" ca="1" si="0"/>
        <v>0</v>
      </c>
      <c r="Q6" s="7">
        <f t="shared" ca="1" si="0"/>
        <v>0</v>
      </c>
      <c r="R6" s="7">
        <f t="shared" ca="1" si="0"/>
        <v>10</v>
      </c>
      <c r="S6" s="7">
        <f t="shared" ca="1" si="0"/>
        <v>0</v>
      </c>
      <c r="T6" s="7">
        <f t="shared" ca="1" si="0"/>
        <v>0</v>
      </c>
      <c r="U6" s="7">
        <f t="shared" ca="1" si="0"/>
        <v>0</v>
      </c>
    </row>
    <row r="7" spans="2:21" x14ac:dyDescent="0.3">
      <c r="C7" s="7" t="s">
        <v>33</v>
      </c>
      <c r="D7" s="7" t="s">
        <v>34</v>
      </c>
      <c r="E7" s="7" t="s">
        <v>35</v>
      </c>
      <c r="G7" s="6">
        <v>1</v>
      </c>
      <c r="H7" s="6">
        <v>2</v>
      </c>
      <c r="I7" s="6">
        <v>3</v>
      </c>
      <c r="J7" s="6">
        <v>4</v>
      </c>
      <c r="K7" s="6">
        <v>5</v>
      </c>
      <c r="L7" s="6">
        <v>6</v>
      </c>
      <c r="M7" s="6">
        <v>7</v>
      </c>
      <c r="N7" s="6">
        <v>8</v>
      </c>
      <c r="O7" s="6">
        <v>9</v>
      </c>
      <c r="P7" s="6">
        <v>10</v>
      </c>
      <c r="Q7" s="6">
        <v>11</v>
      </c>
      <c r="R7" s="6">
        <v>12</v>
      </c>
      <c r="S7" s="6">
        <v>13</v>
      </c>
      <c r="T7" s="6">
        <v>14</v>
      </c>
      <c r="U7" s="6">
        <v>15</v>
      </c>
    </row>
    <row r="8" spans="2:21" x14ac:dyDescent="0.3">
      <c r="B8" t="s">
        <v>42</v>
      </c>
      <c r="C8" s="4">
        <v>2</v>
      </c>
      <c r="D8" s="4">
        <v>1</v>
      </c>
      <c r="E8" s="4"/>
      <c r="F8" t="s">
        <v>36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>
        <f>C2*C8</f>
        <v>20</v>
      </c>
      <c r="S8" s="7"/>
      <c r="T8" s="7"/>
      <c r="U8" s="7"/>
    </row>
    <row r="9" spans="2:21" x14ac:dyDescent="0.3">
      <c r="C9" s="4"/>
      <c r="D9" s="4"/>
      <c r="E9" s="4"/>
      <c r="F9" t="s">
        <v>37</v>
      </c>
      <c r="G9" s="7">
        <f t="shared" ref="G9:Q9" ca="1" si="1">J6*$C$8</f>
        <v>0</v>
      </c>
      <c r="H9" s="7">
        <f t="shared" ca="1" si="1"/>
        <v>0</v>
      </c>
      <c r="I9" s="7">
        <f t="shared" ca="1" si="1"/>
        <v>0</v>
      </c>
      <c r="J9" s="7">
        <f t="shared" ca="1" si="1"/>
        <v>0</v>
      </c>
      <c r="K9" s="7">
        <f t="shared" ca="1" si="1"/>
        <v>0</v>
      </c>
      <c r="L9" s="7">
        <f t="shared" ca="1" si="1"/>
        <v>0</v>
      </c>
      <c r="M9" s="7">
        <f t="shared" ca="1" si="1"/>
        <v>0</v>
      </c>
      <c r="N9" s="7">
        <f t="shared" ca="1" si="1"/>
        <v>0</v>
      </c>
      <c r="O9" s="7">
        <f t="shared" ca="1" si="1"/>
        <v>20</v>
      </c>
      <c r="P9" s="7">
        <f t="shared" ca="1" si="1"/>
        <v>0</v>
      </c>
      <c r="Q9" s="7">
        <f t="shared" ca="1" si="1"/>
        <v>0</v>
      </c>
      <c r="R9" s="7">
        <f ca="1">U6*$C$8</f>
        <v>0</v>
      </c>
      <c r="S9" s="7">
        <f t="shared" ref="S9:U9" si="2">V6*$C$8</f>
        <v>0</v>
      </c>
      <c r="T9" s="7">
        <f t="shared" si="2"/>
        <v>0</v>
      </c>
      <c r="U9" s="7">
        <f t="shared" si="2"/>
        <v>0</v>
      </c>
    </row>
    <row r="10" spans="2:21" x14ac:dyDescent="0.3">
      <c r="C10" s="7" t="s">
        <v>33</v>
      </c>
      <c r="D10" s="7" t="s">
        <v>34</v>
      </c>
      <c r="E10" s="7" t="s">
        <v>35</v>
      </c>
      <c r="G10" s="6">
        <v>1</v>
      </c>
      <c r="H10" s="6">
        <v>2</v>
      </c>
      <c r="I10" s="6">
        <v>3</v>
      </c>
      <c r="J10" s="6">
        <v>4</v>
      </c>
      <c r="K10" s="6">
        <v>5</v>
      </c>
      <c r="L10" s="6">
        <v>6</v>
      </c>
      <c r="M10" s="6">
        <v>7</v>
      </c>
      <c r="N10" s="6">
        <v>8</v>
      </c>
      <c r="O10" s="6">
        <v>9</v>
      </c>
      <c r="P10" s="6">
        <v>10</v>
      </c>
      <c r="Q10" s="6">
        <v>11</v>
      </c>
      <c r="R10" s="6">
        <v>12</v>
      </c>
      <c r="S10" s="6">
        <v>13</v>
      </c>
      <c r="T10" s="6">
        <v>14</v>
      </c>
      <c r="U10" s="6">
        <v>15</v>
      </c>
    </row>
    <row r="11" spans="2:21" x14ac:dyDescent="0.3">
      <c r="B11" t="s">
        <v>39</v>
      </c>
      <c r="C11" s="4">
        <v>1</v>
      </c>
      <c r="D11" s="4">
        <v>4</v>
      </c>
      <c r="E11" s="4"/>
      <c r="F11" t="s">
        <v>36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>
        <f ca="1">R6</f>
        <v>10</v>
      </c>
      <c r="S11" s="7"/>
      <c r="T11" s="7"/>
      <c r="U11" s="7"/>
    </row>
    <row r="12" spans="2:21" x14ac:dyDescent="0.3">
      <c r="C12" s="4"/>
      <c r="D12" s="4"/>
      <c r="E12" s="4"/>
      <c r="F12" t="s">
        <v>37</v>
      </c>
      <c r="G12" s="7">
        <f t="shared" ref="G12" ca="1" si="3">J6*$C$11</f>
        <v>0</v>
      </c>
      <c r="H12" s="7">
        <f t="shared" ref="H12" ca="1" si="4">K6*$C$11</f>
        <v>0</v>
      </c>
      <c r="I12" s="7">
        <f t="shared" ref="I12:J12" ca="1" si="5">L6*$C$11</f>
        <v>0</v>
      </c>
      <c r="J12" s="7">
        <f t="shared" ca="1" si="5"/>
        <v>0</v>
      </c>
      <c r="K12" s="7">
        <f t="shared" ref="K12" ca="1" si="6">N6*$C$11</f>
        <v>0</v>
      </c>
      <c r="L12" s="7">
        <f t="shared" ref="L12" ca="1" si="7">O6*$C$11</f>
        <v>0</v>
      </c>
      <c r="M12" s="7">
        <f t="shared" ref="M12:N12" ca="1" si="8">P6*$C$11</f>
        <v>0</v>
      </c>
      <c r="N12" s="7">
        <f t="shared" ca="1" si="8"/>
        <v>0</v>
      </c>
      <c r="O12" s="7">
        <f t="shared" ref="O12" ca="1" si="9">R6*$C$11</f>
        <v>10</v>
      </c>
      <c r="P12" s="7">
        <f t="shared" ref="P12" ca="1" si="10">S6*$C$11</f>
        <v>0</v>
      </c>
      <c r="Q12" s="7">
        <f t="shared" ref="Q12" ca="1" si="11">T6*$C$11</f>
        <v>0</v>
      </c>
      <c r="R12" s="7">
        <f ca="1">U6*$C$11</f>
        <v>0</v>
      </c>
      <c r="S12" s="7">
        <f t="shared" ref="S12:U12" si="12">V6*$C$11</f>
        <v>0</v>
      </c>
      <c r="T12" s="7">
        <f t="shared" si="12"/>
        <v>0</v>
      </c>
      <c r="U12" s="7">
        <f t="shared" si="12"/>
        <v>0</v>
      </c>
    </row>
    <row r="13" spans="2:21" x14ac:dyDescent="0.3">
      <c r="C13" s="7" t="s">
        <v>33</v>
      </c>
      <c r="D13" s="7" t="s">
        <v>34</v>
      </c>
      <c r="E13" s="7" t="s">
        <v>35</v>
      </c>
      <c r="G13" s="6">
        <v>1</v>
      </c>
      <c r="H13" s="6">
        <v>2</v>
      </c>
      <c r="I13" s="6">
        <v>3</v>
      </c>
      <c r="J13" s="6">
        <v>4</v>
      </c>
      <c r="K13" s="6">
        <v>5</v>
      </c>
      <c r="L13" s="6">
        <v>6</v>
      </c>
      <c r="M13" s="6">
        <v>7</v>
      </c>
      <c r="N13" s="6">
        <v>8</v>
      </c>
      <c r="O13" s="6">
        <v>9</v>
      </c>
      <c r="P13" s="6">
        <v>10</v>
      </c>
      <c r="Q13" s="6">
        <v>11</v>
      </c>
      <c r="R13" s="6">
        <v>12</v>
      </c>
      <c r="S13" s="6">
        <v>13</v>
      </c>
      <c r="T13" s="6">
        <v>14</v>
      </c>
      <c r="U13" s="6">
        <v>15</v>
      </c>
    </row>
    <row r="14" spans="2:21" x14ac:dyDescent="0.3">
      <c r="B14" t="s">
        <v>43</v>
      </c>
      <c r="C14" s="4">
        <v>4</v>
      </c>
      <c r="D14" s="4">
        <v>2</v>
      </c>
      <c r="E14" s="4"/>
      <c r="F14" t="s">
        <v>36</v>
      </c>
      <c r="G14" s="7"/>
      <c r="H14" s="7"/>
      <c r="I14" s="7"/>
      <c r="J14" s="7"/>
      <c r="K14" s="7"/>
      <c r="L14" s="7"/>
      <c r="M14" s="7"/>
      <c r="N14" s="7"/>
      <c r="O14" s="7">
        <f ca="1">O12*C14</f>
        <v>40</v>
      </c>
      <c r="P14" s="7"/>
      <c r="Q14" s="7"/>
      <c r="R14" s="7"/>
      <c r="S14" s="7"/>
      <c r="T14" s="7"/>
      <c r="U14" s="7"/>
    </row>
    <row r="15" spans="2:21" x14ac:dyDescent="0.3">
      <c r="F15" t="s">
        <v>37</v>
      </c>
      <c r="G15" s="7">
        <f t="shared" ref="G15:U15" ca="1" si="13">OFFSET(G14,0,LTcilindri)</f>
        <v>0</v>
      </c>
      <c r="H15" s="7">
        <f t="shared" ca="1" si="13"/>
        <v>0</v>
      </c>
      <c r="I15" s="7">
        <f t="shared" ca="1" si="13"/>
        <v>0</v>
      </c>
      <c r="J15" s="7">
        <f t="shared" ca="1" si="13"/>
        <v>0</v>
      </c>
      <c r="K15" s="7">
        <f t="shared" ca="1" si="13"/>
        <v>0</v>
      </c>
      <c r="L15" s="7">
        <f t="shared" ca="1" si="13"/>
        <v>0</v>
      </c>
      <c r="M15" s="7">
        <f t="shared" ca="1" si="13"/>
        <v>40</v>
      </c>
      <c r="N15" s="7">
        <f t="shared" ca="1" si="13"/>
        <v>0</v>
      </c>
      <c r="O15" s="7">
        <f t="shared" ca="1" si="13"/>
        <v>0</v>
      </c>
      <c r="P15" s="7">
        <f t="shared" ca="1" si="13"/>
        <v>0</v>
      </c>
      <c r="Q15" s="7">
        <f t="shared" ca="1" si="13"/>
        <v>0</v>
      </c>
      <c r="R15" s="7">
        <f t="shared" ca="1" si="13"/>
        <v>0</v>
      </c>
      <c r="S15" s="7">
        <f t="shared" ca="1" si="13"/>
        <v>0</v>
      </c>
      <c r="T15" s="7">
        <f t="shared" ca="1" si="13"/>
        <v>0</v>
      </c>
      <c r="U15" s="7">
        <f t="shared" ca="1" si="13"/>
        <v>0</v>
      </c>
    </row>
    <row r="16" spans="2:21" x14ac:dyDescent="0.3">
      <c r="C16" s="7" t="s">
        <v>33</v>
      </c>
      <c r="D16" s="7" t="s">
        <v>34</v>
      </c>
      <c r="E16" s="7" t="s">
        <v>35</v>
      </c>
      <c r="G16" s="6">
        <v>1</v>
      </c>
      <c r="H16" s="6">
        <v>2</v>
      </c>
      <c r="I16" s="6">
        <v>3</v>
      </c>
      <c r="J16" s="6">
        <v>4</v>
      </c>
      <c r="K16" s="6">
        <v>5</v>
      </c>
      <c r="L16" s="6">
        <v>6</v>
      </c>
      <c r="M16" s="6">
        <v>7</v>
      </c>
      <c r="N16" s="6">
        <v>8</v>
      </c>
      <c r="O16" s="6">
        <v>9</v>
      </c>
      <c r="P16" s="6">
        <v>10</v>
      </c>
      <c r="Q16" s="6">
        <v>11</v>
      </c>
      <c r="R16" s="6">
        <v>12</v>
      </c>
      <c r="S16" s="6">
        <v>13</v>
      </c>
      <c r="T16" s="6">
        <v>14</v>
      </c>
      <c r="U16" s="6">
        <v>15</v>
      </c>
    </row>
    <row r="17" spans="2:21" x14ac:dyDescent="0.3">
      <c r="B17" t="s">
        <v>44</v>
      </c>
      <c r="C17" s="4">
        <v>16</v>
      </c>
      <c r="D17" s="4">
        <v>2</v>
      </c>
      <c r="E17" s="4"/>
      <c r="F17" t="s">
        <v>36</v>
      </c>
      <c r="G17" s="7"/>
      <c r="H17" s="7"/>
      <c r="I17" s="7"/>
      <c r="J17" s="7"/>
      <c r="K17" s="7"/>
      <c r="L17" s="7"/>
      <c r="M17" s="7"/>
      <c r="N17" s="7"/>
      <c r="O17" s="7">
        <f ca="1">O12*C17</f>
        <v>160</v>
      </c>
      <c r="P17" s="7"/>
      <c r="Q17" s="7"/>
      <c r="R17" s="7"/>
      <c r="S17" s="7"/>
      <c r="T17" s="7"/>
      <c r="U17" s="7"/>
    </row>
    <row r="18" spans="2:21" x14ac:dyDescent="0.3">
      <c r="F18" t="s">
        <v>37</v>
      </c>
      <c r="G18" s="7">
        <f t="shared" ref="G18:U18" ca="1" si="14">OFFSET(G17,0,LTvalove)</f>
        <v>0</v>
      </c>
      <c r="H18" s="7">
        <f t="shared" ca="1" si="14"/>
        <v>0</v>
      </c>
      <c r="I18" s="7">
        <f t="shared" ca="1" si="14"/>
        <v>0</v>
      </c>
      <c r="J18" s="7">
        <f t="shared" ca="1" si="14"/>
        <v>0</v>
      </c>
      <c r="K18" s="7">
        <f t="shared" ca="1" si="14"/>
        <v>0</v>
      </c>
      <c r="L18" s="7">
        <f t="shared" ca="1" si="14"/>
        <v>0</v>
      </c>
      <c r="M18" s="7">
        <f t="shared" ca="1" si="14"/>
        <v>160</v>
      </c>
      <c r="N18" s="7">
        <f t="shared" ca="1" si="14"/>
        <v>0</v>
      </c>
      <c r="O18" s="7">
        <f t="shared" ca="1" si="14"/>
        <v>0</v>
      </c>
      <c r="P18" s="7">
        <f t="shared" ca="1" si="14"/>
        <v>0</v>
      </c>
      <c r="Q18" s="7">
        <f t="shared" ca="1" si="14"/>
        <v>0</v>
      </c>
      <c r="R18" s="7">
        <f t="shared" ca="1" si="14"/>
        <v>0</v>
      </c>
      <c r="S18" s="7">
        <f t="shared" ca="1" si="14"/>
        <v>0</v>
      </c>
      <c r="T18" s="7">
        <f t="shared" ca="1" si="14"/>
        <v>0</v>
      </c>
      <c r="U18" s="7">
        <f t="shared" ca="1" si="14"/>
        <v>0</v>
      </c>
    </row>
    <row r="19" spans="2:21" x14ac:dyDescent="0.3">
      <c r="C19" s="7" t="s">
        <v>33</v>
      </c>
      <c r="D19" s="7" t="s">
        <v>34</v>
      </c>
      <c r="E19" s="7" t="s">
        <v>35</v>
      </c>
      <c r="G19" s="6">
        <v>1</v>
      </c>
      <c r="H19" s="6">
        <v>2</v>
      </c>
      <c r="I19" s="6">
        <v>3</v>
      </c>
      <c r="J19" s="6">
        <v>4</v>
      </c>
      <c r="K19" s="6">
        <v>5</v>
      </c>
      <c r="L19" s="6">
        <v>6</v>
      </c>
      <c r="M19" s="6">
        <v>7</v>
      </c>
      <c r="N19" s="6">
        <v>8</v>
      </c>
      <c r="O19" s="6">
        <v>9</v>
      </c>
      <c r="P19" s="6">
        <v>10</v>
      </c>
      <c r="Q19" s="6">
        <v>11</v>
      </c>
      <c r="R19" s="6">
        <v>12</v>
      </c>
      <c r="S19" s="6">
        <v>13</v>
      </c>
      <c r="T19" s="6">
        <v>14</v>
      </c>
      <c r="U19" s="6">
        <v>15</v>
      </c>
    </row>
    <row r="20" spans="2:21" x14ac:dyDescent="0.3">
      <c r="B20" t="s">
        <v>45</v>
      </c>
      <c r="C20" s="4"/>
      <c r="D20" s="4">
        <v>2</v>
      </c>
      <c r="E20" s="4"/>
      <c r="F20" t="s">
        <v>36</v>
      </c>
      <c r="G20" s="7"/>
      <c r="H20" s="7"/>
      <c r="I20" s="7"/>
      <c r="J20" s="7"/>
      <c r="K20" s="7"/>
      <c r="L20" s="7"/>
      <c r="M20" s="7"/>
      <c r="N20" s="7"/>
      <c r="O20" s="7">
        <f ca="1">O12</f>
        <v>10</v>
      </c>
      <c r="P20" s="7"/>
      <c r="Q20" s="7"/>
      <c r="R20" s="7"/>
      <c r="S20" s="7"/>
      <c r="T20" s="7"/>
      <c r="U20" s="7"/>
    </row>
    <row r="21" spans="2:21" x14ac:dyDescent="0.3">
      <c r="F21" t="s">
        <v>37</v>
      </c>
      <c r="G21" s="7">
        <f t="shared" ref="G21:U21" ca="1" si="15">OFFSET(G20,0,LTaltro)</f>
        <v>0</v>
      </c>
      <c r="H21" s="7">
        <f t="shared" ca="1" si="15"/>
        <v>0</v>
      </c>
      <c r="I21" s="7">
        <f t="shared" ca="1" si="15"/>
        <v>0</v>
      </c>
      <c r="J21" s="7">
        <f t="shared" ca="1" si="15"/>
        <v>0</v>
      </c>
      <c r="K21" s="7">
        <f t="shared" ca="1" si="15"/>
        <v>0</v>
      </c>
      <c r="L21" s="7">
        <f t="shared" ca="1" si="15"/>
        <v>0</v>
      </c>
      <c r="M21" s="7">
        <f t="shared" ca="1" si="15"/>
        <v>10</v>
      </c>
      <c r="N21" s="7">
        <f t="shared" ca="1" si="15"/>
        <v>0</v>
      </c>
      <c r="O21" s="7">
        <f t="shared" ca="1" si="15"/>
        <v>0</v>
      </c>
      <c r="P21" s="7">
        <f t="shared" ca="1" si="15"/>
        <v>0</v>
      </c>
      <c r="Q21" s="7">
        <f t="shared" ca="1" si="15"/>
        <v>0</v>
      </c>
      <c r="R21" s="7">
        <f t="shared" ca="1" si="15"/>
        <v>0</v>
      </c>
      <c r="S21" s="7">
        <f t="shared" ca="1" si="15"/>
        <v>0</v>
      </c>
      <c r="T21" s="7">
        <f t="shared" ca="1" si="15"/>
        <v>0</v>
      </c>
      <c r="U21" s="7">
        <f t="shared" ca="1" si="15"/>
        <v>0</v>
      </c>
    </row>
    <row r="22" spans="2:21" x14ac:dyDescent="0.3">
      <c r="C22" s="7" t="s">
        <v>33</v>
      </c>
      <c r="D22" s="7" t="s">
        <v>34</v>
      </c>
      <c r="E22" s="7" t="s">
        <v>35</v>
      </c>
      <c r="G22" s="6">
        <v>1</v>
      </c>
      <c r="H22" s="6">
        <v>2</v>
      </c>
      <c r="I22" s="6">
        <v>3</v>
      </c>
      <c r="J22" s="6">
        <v>4</v>
      </c>
      <c r="K22" s="6">
        <v>5</v>
      </c>
      <c r="L22" s="6">
        <v>6</v>
      </c>
      <c r="M22" s="6">
        <v>7</v>
      </c>
      <c r="N22" s="6">
        <v>8</v>
      </c>
      <c r="O22" s="6">
        <v>9</v>
      </c>
      <c r="P22" s="6">
        <v>10</v>
      </c>
      <c r="Q22" s="6">
        <v>11</v>
      </c>
      <c r="R22" s="6">
        <v>12</v>
      </c>
      <c r="S22" s="6">
        <v>13</v>
      </c>
      <c r="T22" s="6">
        <v>14</v>
      </c>
      <c r="U22" s="6">
        <v>15</v>
      </c>
    </row>
    <row r="23" spans="2:21" x14ac:dyDescent="0.3">
      <c r="B23" t="s">
        <v>40</v>
      </c>
      <c r="C23" s="4">
        <v>1</v>
      </c>
      <c r="D23" s="4">
        <v>2</v>
      </c>
      <c r="E23" s="4"/>
      <c r="F23" t="s">
        <v>36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>
        <f ca="1">R6</f>
        <v>10</v>
      </c>
      <c r="S23" s="7"/>
      <c r="T23" s="7"/>
      <c r="U23" s="7"/>
    </row>
    <row r="24" spans="2:21" x14ac:dyDescent="0.3">
      <c r="F24" t="s">
        <v>37</v>
      </c>
      <c r="G24" s="7">
        <f t="shared" ref="G24:Q24" ca="1" si="16">J6*$C$23</f>
        <v>0</v>
      </c>
      <c r="H24" s="7">
        <f t="shared" ca="1" si="16"/>
        <v>0</v>
      </c>
      <c r="I24" s="7">
        <f t="shared" ca="1" si="16"/>
        <v>0</v>
      </c>
      <c r="J24" s="7">
        <f t="shared" ca="1" si="16"/>
        <v>0</v>
      </c>
      <c r="K24" s="7">
        <f t="shared" ca="1" si="16"/>
        <v>0</v>
      </c>
      <c r="L24" s="7">
        <f t="shared" ca="1" si="16"/>
        <v>0</v>
      </c>
      <c r="M24" s="7">
        <f t="shared" ca="1" si="16"/>
        <v>0</v>
      </c>
      <c r="N24" s="7">
        <f t="shared" ca="1" si="16"/>
        <v>0</v>
      </c>
      <c r="O24" s="7">
        <f t="shared" ca="1" si="16"/>
        <v>10</v>
      </c>
      <c r="P24" s="7">
        <f t="shared" ca="1" si="16"/>
        <v>0</v>
      </c>
      <c r="Q24" s="7">
        <f t="shared" ca="1" si="16"/>
        <v>0</v>
      </c>
      <c r="R24" s="7">
        <f ca="1">U6*$C$23</f>
        <v>0</v>
      </c>
      <c r="S24" s="7">
        <f t="shared" ref="S24:U24" si="17">V6*$C$23</f>
        <v>0</v>
      </c>
      <c r="T24" s="7">
        <f t="shared" si="17"/>
        <v>0</v>
      </c>
      <c r="U24" s="7">
        <f t="shared" si="17"/>
        <v>0</v>
      </c>
    </row>
    <row r="25" spans="2:21" x14ac:dyDescent="0.3">
      <c r="C25" s="7" t="s">
        <v>33</v>
      </c>
      <c r="D25" s="7" t="s">
        <v>34</v>
      </c>
      <c r="E25" s="7" t="s">
        <v>35</v>
      </c>
      <c r="G25" s="6">
        <v>1</v>
      </c>
      <c r="H25" s="6">
        <v>2</v>
      </c>
      <c r="I25" s="6">
        <v>3</v>
      </c>
      <c r="J25" s="6">
        <v>4</v>
      </c>
      <c r="K25" s="6">
        <v>5</v>
      </c>
      <c r="L25" s="6">
        <v>6</v>
      </c>
      <c r="M25" s="6">
        <v>7</v>
      </c>
      <c r="N25" s="6">
        <v>8</v>
      </c>
      <c r="O25" s="6">
        <v>9</v>
      </c>
      <c r="P25" s="6">
        <v>10</v>
      </c>
      <c r="Q25" s="6">
        <v>11</v>
      </c>
      <c r="R25" s="6">
        <v>12</v>
      </c>
      <c r="S25" s="6">
        <v>13</v>
      </c>
      <c r="T25" s="6">
        <v>14</v>
      </c>
      <c r="U25" s="6">
        <v>15</v>
      </c>
    </row>
    <row r="26" spans="2:21" x14ac:dyDescent="0.3">
      <c r="B26" t="s">
        <v>46</v>
      </c>
      <c r="C26" s="4">
        <v>1</v>
      </c>
      <c r="D26" s="4">
        <v>1</v>
      </c>
      <c r="E26" s="4"/>
      <c r="F26" t="s">
        <v>36</v>
      </c>
      <c r="G26" s="7"/>
      <c r="H26" s="7"/>
      <c r="I26" s="7"/>
      <c r="J26" s="7"/>
      <c r="K26" s="7"/>
      <c r="L26" s="7"/>
      <c r="M26" s="7"/>
      <c r="N26" s="7"/>
      <c r="O26" s="7">
        <f ca="1">O24</f>
        <v>10</v>
      </c>
      <c r="P26" s="7"/>
      <c r="Q26" s="7"/>
      <c r="R26" s="7"/>
      <c r="S26" s="7"/>
      <c r="T26" s="7"/>
      <c r="U26" s="7"/>
    </row>
    <row r="27" spans="2:21" x14ac:dyDescent="0.3">
      <c r="F27" t="s">
        <v>37</v>
      </c>
      <c r="G27" s="7">
        <f t="shared" ref="G27:U27" ca="1" si="18">OFFSET(G26,0,LTsedile)</f>
        <v>0</v>
      </c>
      <c r="H27" s="7">
        <f t="shared" ca="1" si="18"/>
        <v>0</v>
      </c>
      <c r="I27" s="7">
        <f t="shared" ca="1" si="18"/>
        <v>0</v>
      </c>
      <c r="J27" s="7">
        <f t="shared" ca="1" si="18"/>
        <v>0</v>
      </c>
      <c r="K27" s="7">
        <f t="shared" ca="1" si="18"/>
        <v>0</v>
      </c>
      <c r="L27" s="7">
        <f t="shared" ca="1" si="18"/>
        <v>0</v>
      </c>
      <c r="M27" s="7">
        <f t="shared" ca="1" si="18"/>
        <v>0</v>
      </c>
      <c r="N27" s="7">
        <f t="shared" ca="1" si="18"/>
        <v>10</v>
      </c>
      <c r="O27" s="7">
        <f t="shared" ca="1" si="18"/>
        <v>0</v>
      </c>
      <c r="P27" s="7">
        <f t="shared" ca="1" si="18"/>
        <v>0</v>
      </c>
      <c r="Q27" s="7">
        <f t="shared" ca="1" si="18"/>
        <v>0</v>
      </c>
      <c r="R27" s="7">
        <f t="shared" ca="1" si="18"/>
        <v>0</v>
      </c>
      <c r="S27" s="7">
        <f t="shared" ca="1" si="18"/>
        <v>0</v>
      </c>
      <c r="T27" s="7">
        <f t="shared" ca="1" si="18"/>
        <v>0</v>
      </c>
      <c r="U27" s="7">
        <f t="shared" ca="1" si="18"/>
        <v>0</v>
      </c>
    </row>
    <row r="28" spans="2:21" x14ac:dyDescent="0.3">
      <c r="C28" s="7" t="s">
        <v>33</v>
      </c>
      <c r="D28" s="7" t="s">
        <v>34</v>
      </c>
      <c r="E28" s="7" t="s">
        <v>35</v>
      </c>
      <c r="G28" s="6">
        <v>1</v>
      </c>
      <c r="H28" s="6">
        <v>2</v>
      </c>
      <c r="I28" s="6">
        <v>3</v>
      </c>
      <c r="J28" s="6">
        <v>4</v>
      </c>
      <c r="K28" s="6">
        <v>5</v>
      </c>
      <c r="L28" s="6">
        <v>6</v>
      </c>
      <c r="M28" s="6">
        <v>7</v>
      </c>
      <c r="N28" s="6">
        <v>8</v>
      </c>
      <c r="O28" s="6">
        <v>9</v>
      </c>
      <c r="P28" s="6">
        <v>10</v>
      </c>
      <c r="Q28" s="6">
        <v>11</v>
      </c>
      <c r="R28" s="6">
        <v>12</v>
      </c>
      <c r="S28" s="6">
        <v>13</v>
      </c>
      <c r="T28" s="6">
        <v>14</v>
      </c>
      <c r="U28" s="6">
        <v>15</v>
      </c>
    </row>
    <row r="29" spans="2:21" x14ac:dyDescent="0.3">
      <c r="B29" t="s">
        <v>47</v>
      </c>
      <c r="C29" s="4">
        <v>1</v>
      </c>
      <c r="D29" s="4">
        <v>1</v>
      </c>
      <c r="E29" s="4"/>
      <c r="F29" t="s">
        <v>36</v>
      </c>
      <c r="G29" s="7"/>
      <c r="H29" s="7"/>
      <c r="I29" s="7"/>
      <c r="J29" s="7"/>
      <c r="K29" s="7"/>
      <c r="L29" s="7"/>
      <c r="M29" s="7"/>
      <c r="N29" s="7"/>
      <c r="O29" s="7">
        <f ca="1">O24</f>
        <v>10</v>
      </c>
      <c r="P29" s="7"/>
      <c r="Q29" s="7"/>
      <c r="R29" s="7"/>
      <c r="S29" s="7"/>
      <c r="T29" s="7"/>
      <c r="U29" s="7"/>
    </row>
    <row r="30" spans="2:21" x14ac:dyDescent="0.3">
      <c r="F30" t="s">
        <v>37</v>
      </c>
      <c r="G30" s="7">
        <f t="shared" ref="G30:U30" ca="1" si="19">OFFSET(G29,0,LTportacasco)</f>
        <v>0</v>
      </c>
      <c r="H30" s="7">
        <f t="shared" ca="1" si="19"/>
        <v>0</v>
      </c>
      <c r="I30" s="7">
        <f t="shared" ca="1" si="19"/>
        <v>0</v>
      </c>
      <c r="J30" s="7">
        <f t="shared" ca="1" si="19"/>
        <v>0</v>
      </c>
      <c r="K30" s="7">
        <f t="shared" ca="1" si="19"/>
        <v>0</v>
      </c>
      <c r="L30" s="7">
        <f t="shared" ca="1" si="19"/>
        <v>0</v>
      </c>
      <c r="M30" s="7">
        <f t="shared" ca="1" si="19"/>
        <v>0</v>
      </c>
      <c r="N30" s="7">
        <f t="shared" ca="1" si="19"/>
        <v>10</v>
      </c>
      <c r="O30" s="7">
        <f t="shared" ca="1" si="19"/>
        <v>0</v>
      </c>
      <c r="P30" s="7">
        <f t="shared" ca="1" si="19"/>
        <v>0</v>
      </c>
      <c r="Q30" s="7">
        <f t="shared" ca="1" si="19"/>
        <v>0</v>
      </c>
      <c r="R30" s="7">
        <f t="shared" ca="1" si="19"/>
        <v>0</v>
      </c>
      <c r="S30" s="7">
        <f t="shared" ca="1" si="19"/>
        <v>0</v>
      </c>
      <c r="T30" s="7">
        <f t="shared" ca="1" si="19"/>
        <v>0</v>
      </c>
      <c r="U30" s="7">
        <f t="shared" ca="1" si="19"/>
        <v>0</v>
      </c>
    </row>
    <row r="31" spans="2:21" x14ac:dyDescent="0.3">
      <c r="C31" s="7" t="s">
        <v>33</v>
      </c>
      <c r="D31" s="7" t="s">
        <v>34</v>
      </c>
      <c r="E31" s="7" t="s">
        <v>35</v>
      </c>
      <c r="G31" s="6">
        <v>1</v>
      </c>
      <c r="H31" s="6">
        <v>2</v>
      </c>
      <c r="I31" s="6">
        <v>3</v>
      </c>
      <c r="J31" s="6">
        <v>4</v>
      </c>
      <c r="K31" s="6">
        <v>5</v>
      </c>
      <c r="L31" s="6">
        <v>6</v>
      </c>
      <c r="M31" s="6">
        <v>7</v>
      </c>
      <c r="N31" s="6">
        <v>8</v>
      </c>
      <c r="O31" s="6">
        <v>9</v>
      </c>
      <c r="P31" s="6">
        <v>10</v>
      </c>
      <c r="Q31" s="6">
        <v>11</v>
      </c>
      <c r="R31" s="6">
        <v>12</v>
      </c>
      <c r="S31" s="6">
        <v>13</v>
      </c>
      <c r="T31" s="6">
        <v>14</v>
      </c>
      <c r="U31" s="6">
        <v>15</v>
      </c>
    </row>
    <row r="32" spans="2:21" x14ac:dyDescent="0.3">
      <c r="B32" t="s">
        <v>41</v>
      </c>
      <c r="C32" s="4">
        <v>1</v>
      </c>
      <c r="D32" s="4">
        <v>3</v>
      </c>
      <c r="E32" s="4"/>
      <c r="F32" t="s">
        <v>36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>
        <f ca="1">R6</f>
        <v>10</v>
      </c>
      <c r="S32" s="7"/>
      <c r="T32" s="7"/>
      <c r="U32" s="7"/>
    </row>
    <row r="33" spans="2:21" x14ac:dyDescent="0.3">
      <c r="F33" t="s">
        <v>37</v>
      </c>
      <c r="G33" s="7">
        <f t="shared" ref="G33:Q33" ca="1" si="20">J6*$C$32</f>
        <v>0</v>
      </c>
      <c r="H33" s="7">
        <f t="shared" ca="1" si="20"/>
        <v>0</v>
      </c>
      <c r="I33" s="7">
        <f t="shared" ca="1" si="20"/>
        <v>0</v>
      </c>
      <c r="J33" s="7">
        <f t="shared" ca="1" si="20"/>
        <v>0</v>
      </c>
      <c r="K33" s="7">
        <f t="shared" ca="1" si="20"/>
        <v>0</v>
      </c>
      <c r="L33" s="7">
        <f t="shared" ca="1" si="20"/>
        <v>0</v>
      </c>
      <c r="M33" s="7">
        <f t="shared" ca="1" si="20"/>
        <v>0</v>
      </c>
      <c r="N33" s="7">
        <f t="shared" ca="1" si="20"/>
        <v>0</v>
      </c>
      <c r="O33" s="7">
        <f t="shared" ca="1" si="20"/>
        <v>10</v>
      </c>
      <c r="P33" s="7">
        <f t="shared" ca="1" si="20"/>
        <v>0</v>
      </c>
      <c r="Q33" s="7">
        <f t="shared" ca="1" si="20"/>
        <v>0</v>
      </c>
      <c r="R33" s="7">
        <f ca="1">U6*$C$32</f>
        <v>0</v>
      </c>
      <c r="S33" s="7">
        <f t="shared" ref="S33:U33" si="21">V6*$C$32</f>
        <v>0</v>
      </c>
      <c r="T33" s="7">
        <f t="shared" si="21"/>
        <v>0</v>
      </c>
      <c r="U33" s="7">
        <f t="shared" si="21"/>
        <v>0</v>
      </c>
    </row>
    <row r="34" spans="2:21" x14ac:dyDescent="0.3">
      <c r="C34" s="7" t="s">
        <v>33</v>
      </c>
      <c r="D34" s="7" t="s">
        <v>34</v>
      </c>
      <c r="E34" s="7" t="s">
        <v>35</v>
      </c>
      <c r="G34" s="6">
        <v>1</v>
      </c>
      <c r="H34" s="6">
        <v>2</v>
      </c>
      <c r="I34" s="6">
        <v>3</v>
      </c>
      <c r="J34" s="6">
        <v>4</v>
      </c>
      <c r="K34" s="6">
        <v>5</v>
      </c>
      <c r="L34" s="6">
        <v>6</v>
      </c>
      <c r="M34" s="6">
        <v>7</v>
      </c>
      <c r="N34" s="6">
        <v>8</v>
      </c>
      <c r="O34" s="6">
        <v>9</v>
      </c>
      <c r="P34" s="6">
        <v>10</v>
      </c>
      <c r="Q34" s="6">
        <v>11</v>
      </c>
      <c r="R34" s="6">
        <v>12</v>
      </c>
      <c r="S34" s="6">
        <v>13</v>
      </c>
      <c r="T34" s="6">
        <v>14</v>
      </c>
      <c r="U34" s="6">
        <v>15</v>
      </c>
    </row>
    <row r="35" spans="2:21" x14ac:dyDescent="0.3">
      <c r="B35" t="s">
        <v>48</v>
      </c>
      <c r="C35" s="4">
        <v>1</v>
      </c>
      <c r="D35" s="4">
        <v>3</v>
      </c>
      <c r="E35" s="4"/>
      <c r="F35" t="s">
        <v>36</v>
      </c>
      <c r="G35" s="7"/>
      <c r="H35" s="7"/>
      <c r="I35" s="7"/>
      <c r="J35" s="7"/>
      <c r="K35" s="7"/>
      <c r="L35" s="7"/>
      <c r="M35" s="7"/>
      <c r="N35" s="7"/>
      <c r="O35" s="7">
        <f ca="1">O33</f>
        <v>10</v>
      </c>
      <c r="P35" s="7"/>
      <c r="Q35" s="7"/>
      <c r="R35" s="7"/>
      <c r="S35" s="7"/>
      <c r="T35" s="7"/>
      <c r="U35" s="7"/>
    </row>
    <row r="36" spans="2:21" x14ac:dyDescent="0.3">
      <c r="F36" t="s">
        <v>37</v>
      </c>
      <c r="G36" s="7">
        <f t="shared" ref="G36:U36" ca="1" si="22">OFFSET(G35,0,LTscocca)</f>
        <v>0</v>
      </c>
      <c r="H36" s="7">
        <f t="shared" ca="1" si="22"/>
        <v>0</v>
      </c>
      <c r="I36" s="7">
        <f t="shared" ca="1" si="22"/>
        <v>0</v>
      </c>
      <c r="J36" s="7">
        <f t="shared" ca="1" si="22"/>
        <v>0</v>
      </c>
      <c r="K36" s="7">
        <f t="shared" ca="1" si="22"/>
        <v>0</v>
      </c>
      <c r="L36" s="7">
        <f t="shared" ca="1" si="22"/>
        <v>10</v>
      </c>
      <c r="M36" s="7">
        <f t="shared" ca="1" si="22"/>
        <v>0</v>
      </c>
      <c r="N36" s="7">
        <f t="shared" ca="1" si="22"/>
        <v>0</v>
      </c>
      <c r="O36" s="7">
        <f t="shared" ca="1" si="22"/>
        <v>0</v>
      </c>
      <c r="P36" s="7">
        <f t="shared" ca="1" si="22"/>
        <v>0</v>
      </c>
      <c r="Q36" s="7">
        <f t="shared" ca="1" si="22"/>
        <v>0</v>
      </c>
      <c r="R36" s="7">
        <f t="shared" ca="1" si="22"/>
        <v>0</v>
      </c>
      <c r="S36" s="7">
        <f t="shared" ca="1" si="22"/>
        <v>0</v>
      </c>
      <c r="T36" s="7">
        <f t="shared" ca="1" si="22"/>
        <v>0</v>
      </c>
      <c r="U36" s="7">
        <f t="shared" ca="1" si="22"/>
        <v>0</v>
      </c>
    </row>
    <row r="37" spans="2:21" x14ac:dyDescent="0.3">
      <c r="C37" s="7" t="s">
        <v>33</v>
      </c>
      <c r="D37" s="7" t="s">
        <v>34</v>
      </c>
      <c r="E37" s="7" t="s">
        <v>35</v>
      </c>
      <c r="G37" s="6">
        <v>1</v>
      </c>
      <c r="H37" s="6">
        <v>2</v>
      </c>
      <c r="I37" s="6">
        <v>3</v>
      </c>
      <c r="J37" s="6">
        <v>4</v>
      </c>
      <c r="K37" s="6">
        <v>5</v>
      </c>
      <c r="L37" s="6">
        <v>6</v>
      </c>
      <c r="M37" s="6">
        <v>7</v>
      </c>
      <c r="N37" s="6">
        <v>8</v>
      </c>
      <c r="O37" s="6">
        <v>9</v>
      </c>
      <c r="P37" s="6">
        <v>10</v>
      </c>
      <c r="Q37" s="6">
        <v>11</v>
      </c>
      <c r="R37" s="6">
        <v>12</v>
      </c>
      <c r="S37" s="6">
        <v>13</v>
      </c>
      <c r="T37" s="6">
        <v>14</v>
      </c>
      <c r="U37" s="6">
        <v>15</v>
      </c>
    </row>
    <row r="38" spans="2:21" x14ac:dyDescent="0.3">
      <c r="B38" t="s">
        <v>49</v>
      </c>
      <c r="C38" s="4">
        <v>1</v>
      </c>
      <c r="D38" s="4">
        <v>1</v>
      </c>
      <c r="E38" s="4"/>
      <c r="F38" t="s">
        <v>36</v>
      </c>
      <c r="G38" s="7"/>
      <c r="H38" s="7"/>
      <c r="I38" s="7"/>
      <c r="J38" s="7"/>
      <c r="K38" s="7"/>
      <c r="L38" s="7"/>
      <c r="M38" s="7"/>
      <c r="N38" s="7"/>
      <c r="O38" s="7">
        <f ca="1">O33</f>
        <v>10</v>
      </c>
      <c r="P38" s="7"/>
      <c r="Q38" s="7"/>
      <c r="R38" s="7"/>
      <c r="S38" s="7"/>
      <c r="T38" s="7"/>
      <c r="U38" s="7"/>
    </row>
    <row r="39" spans="2:21" x14ac:dyDescent="0.3">
      <c r="F39" t="s">
        <v>37</v>
      </c>
      <c r="G39" s="7">
        <f t="shared" ref="G39:U39" ca="1" si="23">OFFSET(G38,0,LTamm)</f>
        <v>0</v>
      </c>
      <c r="H39" s="7">
        <f t="shared" ca="1" si="23"/>
        <v>0</v>
      </c>
      <c r="I39" s="7">
        <f t="shared" ca="1" si="23"/>
        <v>0</v>
      </c>
      <c r="J39" s="7">
        <f t="shared" ca="1" si="23"/>
        <v>0</v>
      </c>
      <c r="K39" s="7">
        <f t="shared" ca="1" si="23"/>
        <v>0</v>
      </c>
      <c r="L39" s="7">
        <f t="shared" ca="1" si="23"/>
        <v>0</v>
      </c>
      <c r="M39" s="7">
        <f t="shared" ca="1" si="23"/>
        <v>0</v>
      </c>
      <c r="N39" s="7">
        <f t="shared" ca="1" si="23"/>
        <v>10</v>
      </c>
      <c r="O39" s="7">
        <f t="shared" ca="1" si="23"/>
        <v>0</v>
      </c>
      <c r="P39" s="7">
        <f t="shared" ca="1" si="23"/>
        <v>0</v>
      </c>
      <c r="Q39" s="7">
        <f t="shared" ca="1" si="23"/>
        <v>0</v>
      </c>
      <c r="R39" s="7">
        <f t="shared" ca="1" si="23"/>
        <v>0</v>
      </c>
      <c r="S39" s="7">
        <f t="shared" ca="1" si="23"/>
        <v>0</v>
      </c>
      <c r="T39" s="7">
        <f t="shared" ca="1" si="23"/>
        <v>0</v>
      </c>
      <c r="U39" s="7">
        <f t="shared" ca="1" si="23"/>
        <v>0</v>
      </c>
    </row>
    <row r="40" spans="2:21" x14ac:dyDescent="0.3">
      <c r="C40" s="7" t="s">
        <v>33</v>
      </c>
      <c r="D40" s="7" t="s">
        <v>34</v>
      </c>
      <c r="E40" s="7" t="s">
        <v>35</v>
      </c>
      <c r="G40" s="6">
        <v>1</v>
      </c>
      <c r="H40" s="6">
        <v>2</v>
      </c>
      <c r="I40" s="6">
        <v>3</v>
      </c>
      <c r="J40" s="6">
        <v>4</v>
      </c>
      <c r="K40" s="6">
        <v>5</v>
      </c>
      <c r="L40" s="6">
        <v>6</v>
      </c>
      <c r="M40" s="6">
        <v>7</v>
      </c>
      <c r="N40" s="6">
        <v>8</v>
      </c>
      <c r="O40" s="6">
        <v>9</v>
      </c>
      <c r="P40" s="6">
        <v>10</v>
      </c>
      <c r="Q40" s="6">
        <v>11</v>
      </c>
      <c r="R40" s="6">
        <v>12</v>
      </c>
      <c r="S40" s="6">
        <v>13</v>
      </c>
      <c r="T40" s="6">
        <v>14</v>
      </c>
      <c r="U40" s="6">
        <v>15</v>
      </c>
    </row>
    <row r="41" spans="2:21" x14ac:dyDescent="0.3">
      <c r="B41" t="s">
        <v>50</v>
      </c>
      <c r="C41" s="4">
        <v>1</v>
      </c>
      <c r="D41" s="4">
        <v>2</v>
      </c>
      <c r="E41" s="4"/>
      <c r="F41" t="s">
        <v>36</v>
      </c>
      <c r="G41" s="7"/>
      <c r="H41" s="7"/>
      <c r="I41" s="7"/>
      <c r="J41" s="7"/>
      <c r="K41" s="7"/>
      <c r="L41" s="7"/>
      <c r="M41" s="7"/>
      <c r="N41" s="7"/>
      <c r="O41" s="7">
        <f ca="1">O38</f>
        <v>10</v>
      </c>
      <c r="P41" s="7"/>
      <c r="Q41" s="7"/>
      <c r="R41" s="7"/>
      <c r="S41" s="7"/>
      <c r="T41" s="7"/>
      <c r="U41" s="7"/>
    </row>
    <row r="42" spans="2:21" x14ac:dyDescent="0.3">
      <c r="F42" t="s">
        <v>37</v>
      </c>
      <c r="G42" s="7">
        <f t="shared" ref="G42:U42" ca="1" si="24">OFFSET(G41,0,LTserbatoio)</f>
        <v>0</v>
      </c>
      <c r="H42" s="7">
        <f t="shared" ca="1" si="24"/>
        <v>0</v>
      </c>
      <c r="I42" s="7">
        <f t="shared" ca="1" si="24"/>
        <v>0</v>
      </c>
      <c r="J42" s="7">
        <f t="shared" ca="1" si="24"/>
        <v>0</v>
      </c>
      <c r="K42" s="7">
        <f t="shared" ca="1" si="24"/>
        <v>0</v>
      </c>
      <c r="L42" s="7">
        <f t="shared" ca="1" si="24"/>
        <v>0</v>
      </c>
      <c r="M42" s="7">
        <f t="shared" ca="1" si="24"/>
        <v>10</v>
      </c>
      <c r="N42" s="7">
        <f t="shared" ca="1" si="24"/>
        <v>0</v>
      </c>
      <c r="O42" s="7">
        <f t="shared" ca="1" si="24"/>
        <v>0</v>
      </c>
      <c r="P42" s="7">
        <f t="shared" ca="1" si="24"/>
        <v>0</v>
      </c>
      <c r="Q42" s="7">
        <f t="shared" ca="1" si="24"/>
        <v>0</v>
      </c>
      <c r="R42" s="7">
        <f t="shared" ca="1" si="24"/>
        <v>0</v>
      </c>
      <c r="S42" s="7">
        <f t="shared" ca="1" si="24"/>
        <v>0</v>
      </c>
      <c r="T42" s="7">
        <f t="shared" ca="1" si="24"/>
        <v>0</v>
      </c>
      <c r="U42" s="7">
        <f t="shared" ca="1" si="24"/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3</vt:i4>
      </vt:variant>
      <vt:variant>
        <vt:lpstr>Intervalli denominati</vt:lpstr>
      </vt:variant>
      <vt:variant>
        <vt:i4>13</vt:i4>
      </vt:variant>
    </vt:vector>
  </HeadingPairs>
  <TitlesOfParts>
    <vt:vector size="16" baseType="lpstr">
      <vt:lpstr>Es. 1 (Outsourcing)</vt:lpstr>
      <vt:lpstr>Es. 2 (Cicli Aziendali)</vt:lpstr>
      <vt:lpstr>Es. 3 (Sistema Inf. Aziendale)</vt:lpstr>
      <vt:lpstr>LTaltro</vt:lpstr>
      <vt:lpstr>LTamm</vt:lpstr>
      <vt:lpstr>LTcilindri</vt:lpstr>
      <vt:lpstr>LTgomme</vt:lpstr>
      <vt:lpstr>LTmoto</vt:lpstr>
      <vt:lpstr>LTmotore</vt:lpstr>
      <vt:lpstr>LTportacasco</vt:lpstr>
      <vt:lpstr>LTscocca</vt:lpstr>
      <vt:lpstr>LTsedile</vt:lpstr>
      <vt:lpstr>LTsella</vt:lpstr>
      <vt:lpstr>LTserbatoio</vt:lpstr>
      <vt:lpstr>LTtelaio</vt:lpstr>
      <vt:lpstr>LTvalove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UTENTE16</dc:creator>
  <cp:lastModifiedBy>chiara bernadette d'alia</cp:lastModifiedBy>
  <dcterms:created xsi:type="dcterms:W3CDTF">2024-01-11T10:41:16Z</dcterms:created>
  <dcterms:modified xsi:type="dcterms:W3CDTF">2025-11-11T15:38:34Z</dcterms:modified>
</cp:coreProperties>
</file>