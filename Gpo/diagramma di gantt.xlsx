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ente\Documents\D'Alia 5B\"/>
    </mc:Choice>
  </mc:AlternateContent>
  <bookViews>
    <workbookView xWindow="0" yWindow="0" windowWidth="28800" windowHeight="12300"/>
  </bookViews>
  <sheets>
    <sheet name="Diagramma di Gant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F5" i="1"/>
  <c r="F6" i="1"/>
  <c r="F7" i="1"/>
  <c r="F8" i="1"/>
  <c r="F9" i="1"/>
  <c r="F10" i="1"/>
  <c r="F11" i="1"/>
  <c r="F12" i="1"/>
  <c r="F1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F1" i="1"/>
  <c r="W3" i="1"/>
  <c r="X3" i="1"/>
  <c r="Y3" i="1" s="1"/>
  <c r="H3" i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G3" i="1"/>
  <c r="F3" i="1"/>
  <c r="E13" i="1"/>
  <c r="D13" i="1"/>
  <c r="E12" i="1"/>
  <c r="D12" i="1"/>
  <c r="E11" i="1"/>
  <c r="D11" i="1"/>
  <c r="E8" i="1"/>
  <c r="E9" i="1"/>
  <c r="E10" i="1"/>
  <c r="D10" i="1"/>
  <c r="D9" i="1"/>
  <c r="D8" i="1"/>
  <c r="E7" i="1"/>
  <c r="D7" i="1"/>
  <c r="E6" i="1"/>
  <c r="E5" i="1"/>
  <c r="D5" i="1"/>
  <c r="E4" i="1"/>
  <c r="D6" i="1"/>
  <c r="D4" i="1"/>
</calcChain>
</file>

<file path=xl/sharedStrings.xml><?xml version="1.0" encoding="utf-8"?>
<sst xmlns="http://schemas.openxmlformats.org/spreadsheetml/2006/main" count="28" uniqueCount="22">
  <si>
    <t>DATA_INIZIO</t>
  </si>
  <si>
    <t>attività</t>
  </si>
  <si>
    <t>predecessori</t>
  </si>
  <si>
    <t>B</t>
  </si>
  <si>
    <t>C</t>
  </si>
  <si>
    <t>E</t>
  </si>
  <si>
    <t>F</t>
  </si>
  <si>
    <t>G</t>
  </si>
  <si>
    <t>H</t>
  </si>
  <si>
    <t>I</t>
  </si>
  <si>
    <t>J</t>
  </si>
  <si>
    <t>D</t>
  </si>
  <si>
    <t xml:space="preserve">A </t>
  </si>
  <si>
    <t>Nessuno</t>
  </si>
  <si>
    <t>A</t>
  </si>
  <si>
    <t>E,F,G</t>
  </si>
  <si>
    <t>B,C</t>
  </si>
  <si>
    <t>durata</t>
  </si>
  <si>
    <t>inizio</t>
  </si>
  <si>
    <t>fine</t>
  </si>
  <si>
    <t>durata=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</si>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</sst>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10]d\-m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e" xfId="0" builtinId="0"/>
  </cellStyles>
  <dxfs count="130">
    <dxf>
      <font>
        <color rgb="FF002060"/>
      </font>
      <fill>
        <patternFill>
          <bgColor rgb="FF00206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7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zoomScaleNormal="100" workbookViewId="0">
      <selection activeCell="P20" sqref="P20"/>
    </sheetView>
  </sheetViews>
  <sheetFormatPr defaultRowHeight="15" x14ac:dyDescent="0.25"/>
  <cols>
    <col min="1" max="1" width="13.42578125" customWidth="1"/>
    <col min="2" max="2" width="13.28515625" customWidth="1"/>
    <col min="3" max="3" width="11.7109375" customWidth="1"/>
    <col min="4" max="4" width="11.5703125" customWidth="1"/>
    <col min="5" max="5" width="11.7109375" customWidth="1"/>
    <col min="6" max="20" width="6.5703125" bestFit="1" customWidth="1"/>
    <col min="21" max="25" width="6.42578125" bestFit="1" customWidth="1"/>
  </cols>
  <sheetData>
    <row r="1" spans="1:25" x14ac:dyDescent="0.25">
      <c r="A1" s="6" t="s">
        <v>0</v>
      </c>
      <c r="B1" s="6"/>
      <c r="C1" s="2">
        <v>45398</v>
      </c>
      <c r="E1" s="7" t="s">
        <v>20</v>
      </c>
      <c r="F1" s="7">
        <f>E13-C1</f>
        <v>19</v>
      </c>
      <c r="G1" t="s">
        <v>21</v>
      </c>
    </row>
    <row r="2" spans="1:25" x14ac:dyDescent="0.25">
      <c r="A2" s="6"/>
      <c r="B2" s="6"/>
    </row>
    <row r="3" spans="1:25" x14ac:dyDescent="0.25">
      <c r="A3" s="1" t="s">
        <v>1</v>
      </c>
      <c r="B3" s="1" t="s">
        <v>2</v>
      </c>
      <c r="C3" s="1" t="s">
        <v>17</v>
      </c>
      <c r="D3" s="1" t="s">
        <v>18</v>
      </c>
      <c r="E3" s="1" t="s">
        <v>19</v>
      </c>
      <c r="F3" s="5">
        <f>C1</f>
        <v>45398</v>
      </c>
      <c r="G3" s="5">
        <f>F3+1</f>
        <v>45399</v>
      </c>
      <c r="H3" s="5">
        <f t="shared" ref="H3:Y3" si="0">G3+1</f>
        <v>45400</v>
      </c>
      <c r="I3" s="5">
        <f t="shared" si="0"/>
        <v>45401</v>
      </c>
      <c r="J3" s="5">
        <f t="shared" si="0"/>
        <v>45402</v>
      </c>
      <c r="K3" s="5">
        <f t="shared" si="0"/>
        <v>45403</v>
      </c>
      <c r="L3" s="5">
        <f t="shared" si="0"/>
        <v>45404</v>
      </c>
      <c r="M3" s="5">
        <f t="shared" si="0"/>
        <v>45405</v>
      </c>
      <c r="N3" s="5">
        <f t="shared" si="0"/>
        <v>45406</v>
      </c>
      <c r="O3" s="5">
        <f t="shared" si="0"/>
        <v>45407</v>
      </c>
      <c r="P3" s="5">
        <f t="shared" si="0"/>
        <v>45408</v>
      </c>
      <c r="Q3" s="5">
        <f t="shared" si="0"/>
        <v>45409</v>
      </c>
      <c r="R3" s="5">
        <f t="shared" si="0"/>
        <v>45410</v>
      </c>
      <c r="S3" s="5">
        <f t="shared" si="0"/>
        <v>45411</v>
      </c>
      <c r="T3" s="5">
        <f t="shared" si="0"/>
        <v>45412</v>
      </c>
      <c r="U3" s="5">
        <f t="shared" si="0"/>
        <v>45413</v>
      </c>
      <c r="V3" s="5">
        <f t="shared" si="0"/>
        <v>45414</v>
      </c>
      <c r="W3" s="5">
        <f>V3+1</f>
        <v>45415</v>
      </c>
      <c r="X3" s="5">
        <f t="shared" si="0"/>
        <v>45416</v>
      </c>
      <c r="Y3" s="5">
        <f t="shared" si="0"/>
        <v>45417</v>
      </c>
    </row>
    <row r="4" spans="1:25" x14ac:dyDescent="0.25">
      <c r="A4" s="3" t="s">
        <v>12</v>
      </c>
      <c r="B4" s="3" t="s">
        <v>13</v>
      </c>
      <c r="C4" s="3">
        <v>4</v>
      </c>
      <c r="D4" s="4">
        <f>C1</f>
        <v>45398</v>
      </c>
      <c r="E4" s="8">
        <f>D4+C4-1</f>
        <v>45401</v>
      </c>
      <c r="F4" s="11" t="str">
        <f>IF(AND(F$3&gt;=$D4,F$3&lt;=$E4),"X",0)</f>
        <v>X</v>
      </c>
      <c r="G4" s="12" t="str">
        <f t="shared" ref="G4:Y4" si="1">IF(AND(G3&gt;=$D4,G3&lt;=$E4),"X",0)</f>
        <v>X</v>
      </c>
      <c r="H4" s="12" t="str">
        <f t="shared" si="1"/>
        <v>X</v>
      </c>
      <c r="I4" s="9" t="str">
        <f t="shared" si="1"/>
        <v>X</v>
      </c>
      <c r="J4" s="14">
        <f t="shared" si="1"/>
        <v>0</v>
      </c>
      <c r="K4" s="15">
        <f t="shared" si="1"/>
        <v>0</v>
      </c>
      <c r="L4" s="15">
        <f t="shared" si="1"/>
        <v>0</v>
      </c>
      <c r="M4" s="15">
        <f t="shared" si="1"/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  <c r="S4" s="3">
        <f t="shared" si="1"/>
        <v>0</v>
      </c>
      <c r="T4" s="3">
        <f t="shared" si="1"/>
        <v>0</v>
      </c>
      <c r="U4" s="3">
        <f t="shared" si="1"/>
        <v>0</v>
      </c>
      <c r="V4" s="3">
        <f t="shared" si="1"/>
        <v>0</v>
      </c>
      <c r="W4" s="3">
        <f t="shared" si="1"/>
        <v>0</v>
      </c>
      <c r="X4" s="3">
        <f t="shared" si="1"/>
        <v>0</v>
      </c>
      <c r="Y4" s="3">
        <f t="shared" si="1"/>
        <v>0</v>
      </c>
    </row>
    <row r="5" spans="1:25" x14ac:dyDescent="0.25">
      <c r="A5" s="3" t="s">
        <v>3</v>
      </c>
      <c r="B5" s="3" t="s">
        <v>14</v>
      </c>
      <c r="C5" s="3">
        <v>4</v>
      </c>
      <c r="D5" s="4">
        <f>E4+1</f>
        <v>45402</v>
      </c>
      <c r="E5" s="4">
        <f>D5+C5-1</f>
        <v>45405</v>
      </c>
      <c r="F5" s="16">
        <f t="shared" ref="F5:U13" si="2">IF(AND(F$3&gt;=$D5,F$3&lt;=$E5),"X",0)</f>
        <v>0</v>
      </c>
      <c r="G5" s="16">
        <f t="shared" si="2"/>
        <v>0</v>
      </c>
      <c r="H5" s="16">
        <f t="shared" si="2"/>
        <v>0</v>
      </c>
      <c r="I5" s="17">
        <f t="shared" si="2"/>
        <v>0</v>
      </c>
      <c r="J5" s="19" t="str">
        <f t="shared" si="2"/>
        <v>X</v>
      </c>
      <c r="K5" s="20" t="str">
        <f t="shared" si="2"/>
        <v>X</v>
      </c>
      <c r="L5" s="20" t="str">
        <f t="shared" si="2"/>
        <v>X</v>
      </c>
      <c r="M5" s="14" t="str">
        <f t="shared" si="2"/>
        <v>X</v>
      </c>
      <c r="N5" s="14">
        <f t="shared" si="2"/>
        <v>0</v>
      </c>
      <c r="O5" s="15">
        <f t="shared" si="2"/>
        <v>0</v>
      </c>
      <c r="P5" s="15">
        <f t="shared" si="2"/>
        <v>0</v>
      </c>
      <c r="Q5" s="3">
        <f t="shared" si="2"/>
        <v>0</v>
      </c>
      <c r="R5" s="3">
        <f t="shared" si="2"/>
        <v>0</v>
      </c>
      <c r="S5" s="3">
        <f t="shared" si="2"/>
        <v>0</v>
      </c>
      <c r="T5" s="3">
        <f t="shared" si="2"/>
        <v>0</v>
      </c>
      <c r="U5" s="3">
        <f t="shared" si="2"/>
        <v>0</v>
      </c>
      <c r="V5" s="3">
        <f t="shared" ref="G5:Y13" si="3">IF(AND(V$3&gt;=$D5,V$3&lt;=$E5),"X",0)</f>
        <v>0</v>
      </c>
      <c r="W5" s="3">
        <f t="shared" si="3"/>
        <v>0</v>
      </c>
      <c r="X5" s="3">
        <f t="shared" si="3"/>
        <v>0</v>
      </c>
      <c r="Y5" s="3">
        <f t="shared" si="3"/>
        <v>0</v>
      </c>
    </row>
    <row r="6" spans="1:25" x14ac:dyDescent="0.25">
      <c r="A6" s="3" t="s">
        <v>4</v>
      </c>
      <c r="B6" s="3" t="s">
        <v>13</v>
      </c>
      <c r="C6" s="3">
        <v>11</v>
      </c>
      <c r="D6" s="4">
        <f>C1</f>
        <v>45398</v>
      </c>
      <c r="E6" s="8">
        <f>D6+C6-1</f>
        <v>45408</v>
      </c>
      <c r="F6" s="11" t="str">
        <f t="shared" si="2"/>
        <v>X</v>
      </c>
      <c r="G6" s="12" t="str">
        <f t="shared" si="3"/>
        <v>X</v>
      </c>
      <c r="H6" s="12" t="str">
        <f t="shared" si="3"/>
        <v>X</v>
      </c>
      <c r="I6" s="12" t="str">
        <f t="shared" si="3"/>
        <v>X</v>
      </c>
      <c r="J6" s="12" t="str">
        <f t="shared" si="3"/>
        <v>X</v>
      </c>
      <c r="K6" s="12" t="str">
        <f t="shared" si="3"/>
        <v>X</v>
      </c>
      <c r="L6" s="12" t="str">
        <f t="shared" si="3"/>
        <v>X</v>
      </c>
      <c r="M6" s="12" t="str">
        <f t="shared" si="3"/>
        <v>X</v>
      </c>
      <c r="N6" s="12" t="str">
        <f t="shared" si="3"/>
        <v>X</v>
      </c>
      <c r="O6" s="12" t="str">
        <f t="shared" si="3"/>
        <v>X</v>
      </c>
      <c r="P6" s="9" t="str">
        <f t="shared" si="3"/>
        <v>X</v>
      </c>
      <c r="Q6" s="9">
        <f t="shared" si="3"/>
        <v>0</v>
      </c>
      <c r="R6" s="3">
        <f t="shared" si="3"/>
        <v>0</v>
      </c>
      <c r="S6" s="3">
        <f t="shared" si="3"/>
        <v>0</v>
      </c>
      <c r="T6" s="3">
        <f t="shared" si="3"/>
        <v>0</v>
      </c>
      <c r="U6" s="3">
        <f t="shared" si="3"/>
        <v>0</v>
      </c>
      <c r="V6" s="3">
        <f t="shared" si="3"/>
        <v>0</v>
      </c>
      <c r="W6" s="3">
        <f t="shared" si="3"/>
        <v>0</v>
      </c>
      <c r="X6" s="3">
        <f t="shared" si="3"/>
        <v>0</v>
      </c>
      <c r="Y6" s="3">
        <f t="shared" si="3"/>
        <v>0</v>
      </c>
    </row>
    <row r="7" spans="1:25" x14ac:dyDescent="0.25">
      <c r="A7" s="3" t="s">
        <v>11</v>
      </c>
      <c r="B7" s="3" t="s">
        <v>3</v>
      </c>
      <c r="C7" s="3">
        <v>3</v>
      </c>
      <c r="D7" s="4">
        <f>E5+1</f>
        <v>45406</v>
      </c>
      <c r="E7" s="4">
        <f>D7+C7-1</f>
        <v>45408</v>
      </c>
      <c r="F7" s="10">
        <f t="shared" si="2"/>
        <v>0</v>
      </c>
      <c r="G7" s="10">
        <f t="shared" si="3"/>
        <v>0</v>
      </c>
      <c r="H7" s="10">
        <f t="shared" si="3"/>
        <v>0</v>
      </c>
      <c r="I7" s="10">
        <f t="shared" si="3"/>
        <v>0</v>
      </c>
      <c r="J7" s="10">
        <f t="shared" si="3"/>
        <v>0</v>
      </c>
      <c r="K7" s="10">
        <f t="shared" si="3"/>
        <v>0</v>
      </c>
      <c r="L7" s="10">
        <f t="shared" si="3"/>
        <v>0</v>
      </c>
      <c r="M7" s="13">
        <f t="shared" si="3"/>
        <v>0</v>
      </c>
      <c r="N7" s="11" t="str">
        <f t="shared" si="3"/>
        <v>X</v>
      </c>
      <c r="O7" s="12" t="str">
        <f t="shared" si="3"/>
        <v>X</v>
      </c>
      <c r="P7" s="9" t="str">
        <f t="shared" si="3"/>
        <v>X</v>
      </c>
      <c r="Q7" s="14">
        <f t="shared" si="3"/>
        <v>0</v>
      </c>
      <c r="R7" s="15">
        <f t="shared" si="3"/>
        <v>0</v>
      </c>
      <c r="S7" s="15">
        <f t="shared" si="3"/>
        <v>0</v>
      </c>
      <c r="T7" s="15">
        <f t="shared" si="3"/>
        <v>0</v>
      </c>
      <c r="U7" s="3">
        <f t="shared" si="3"/>
        <v>0</v>
      </c>
      <c r="V7" s="3">
        <f t="shared" si="3"/>
        <v>0</v>
      </c>
      <c r="W7" s="3">
        <f t="shared" si="3"/>
        <v>0</v>
      </c>
      <c r="X7" s="3">
        <f t="shared" si="3"/>
        <v>0</v>
      </c>
      <c r="Y7" s="3">
        <f t="shared" si="3"/>
        <v>0</v>
      </c>
    </row>
    <row r="8" spans="1:25" x14ac:dyDescent="0.25">
      <c r="A8" s="3" t="s">
        <v>5</v>
      </c>
      <c r="B8" s="3" t="s">
        <v>11</v>
      </c>
      <c r="C8" s="3">
        <v>4</v>
      </c>
      <c r="D8" s="4">
        <f>E7+1</f>
        <v>45409</v>
      </c>
      <c r="E8" s="4">
        <f t="shared" ref="E8:E13" si="4">D8+C8-1</f>
        <v>45412</v>
      </c>
      <c r="F8" s="3">
        <f t="shared" si="2"/>
        <v>0</v>
      </c>
      <c r="G8" s="3">
        <f t="shared" si="3"/>
        <v>0</v>
      </c>
      <c r="H8" s="3">
        <f t="shared" si="3"/>
        <v>0</v>
      </c>
      <c r="I8" s="3">
        <f t="shared" si="3"/>
        <v>0</v>
      </c>
      <c r="J8" s="3">
        <f t="shared" si="3"/>
        <v>0</v>
      </c>
      <c r="K8" s="3">
        <f t="shared" si="3"/>
        <v>0</v>
      </c>
      <c r="L8" s="3">
        <f t="shared" si="3"/>
        <v>0</v>
      </c>
      <c r="M8" s="3">
        <f t="shared" si="3"/>
        <v>0</v>
      </c>
      <c r="N8" s="10">
        <f t="shared" si="3"/>
        <v>0</v>
      </c>
      <c r="O8" s="10">
        <f t="shared" si="3"/>
        <v>0</v>
      </c>
      <c r="P8" s="13">
        <f t="shared" si="3"/>
        <v>0</v>
      </c>
      <c r="Q8" s="11" t="str">
        <f t="shared" si="3"/>
        <v>X</v>
      </c>
      <c r="R8" s="12" t="str">
        <f t="shared" si="3"/>
        <v>X</v>
      </c>
      <c r="S8" s="12" t="str">
        <f t="shared" si="3"/>
        <v>X</v>
      </c>
      <c r="T8" s="9" t="str">
        <f t="shared" si="3"/>
        <v>X</v>
      </c>
      <c r="U8" s="9">
        <f t="shared" si="3"/>
        <v>0</v>
      </c>
      <c r="V8" s="3">
        <f t="shared" si="3"/>
        <v>0</v>
      </c>
      <c r="W8" s="3">
        <f t="shared" si="3"/>
        <v>0</v>
      </c>
      <c r="X8" s="3">
        <f t="shared" si="3"/>
        <v>0</v>
      </c>
      <c r="Y8" s="3">
        <f t="shared" si="3"/>
        <v>0</v>
      </c>
    </row>
    <row r="9" spans="1:25" x14ac:dyDescent="0.25">
      <c r="A9" s="3" t="s">
        <v>6</v>
      </c>
      <c r="B9" s="3" t="s">
        <v>11</v>
      </c>
      <c r="C9" s="3">
        <v>3</v>
      </c>
      <c r="D9" s="4">
        <f>E7+1</f>
        <v>45409</v>
      </c>
      <c r="E9" s="4">
        <f t="shared" si="4"/>
        <v>45411</v>
      </c>
      <c r="F9" s="3">
        <f t="shared" si="2"/>
        <v>0</v>
      </c>
      <c r="G9" s="3">
        <f t="shared" si="3"/>
        <v>0</v>
      </c>
      <c r="H9" s="3">
        <f t="shared" si="3"/>
        <v>0</v>
      </c>
      <c r="I9" s="3">
        <f t="shared" si="3"/>
        <v>0</v>
      </c>
      <c r="J9" s="3">
        <f t="shared" si="3"/>
        <v>0</v>
      </c>
      <c r="K9" s="3">
        <f t="shared" si="3"/>
        <v>0</v>
      </c>
      <c r="L9" s="3">
        <f t="shared" si="3"/>
        <v>0</v>
      </c>
      <c r="M9" s="3">
        <f t="shared" si="3"/>
        <v>0</v>
      </c>
      <c r="N9" s="3">
        <f t="shared" si="3"/>
        <v>0</v>
      </c>
      <c r="O9" s="3">
        <f t="shared" si="3"/>
        <v>0</v>
      </c>
      <c r="P9" s="11">
        <f t="shared" si="3"/>
        <v>0</v>
      </c>
      <c r="Q9" s="19" t="str">
        <f t="shared" si="3"/>
        <v>X</v>
      </c>
      <c r="R9" s="20" t="str">
        <f t="shared" si="3"/>
        <v>X</v>
      </c>
      <c r="S9" s="14" t="str">
        <f t="shared" si="3"/>
        <v>X</v>
      </c>
      <c r="T9" s="18">
        <f t="shared" si="3"/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3">
        <f t="shared" si="3"/>
        <v>0</v>
      </c>
      <c r="Y9" s="3">
        <f t="shared" si="3"/>
        <v>0</v>
      </c>
    </row>
    <row r="10" spans="1:25" x14ac:dyDescent="0.25">
      <c r="A10" s="3" t="s">
        <v>7</v>
      </c>
      <c r="B10" s="3" t="s">
        <v>11</v>
      </c>
      <c r="C10" s="3">
        <v>4</v>
      </c>
      <c r="D10" s="4">
        <f>E7+1</f>
        <v>45409</v>
      </c>
      <c r="E10" s="4">
        <f t="shared" si="4"/>
        <v>45412</v>
      </c>
      <c r="F10" s="3">
        <f t="shared" si="2"/>
        <v>0</v>
      </c>
      <c r="G10" s="3">
        <f t="shared" si="3"/>
        <v>0</v>
      </c>
      <c r="H10" s="3">
        <f t="shared" si="3"/>
        <v>0</v>
      </c>
      <c r="I10" s="3">
        <f t="shared" si="3"/>
        <v>0</v>
      </c>
      <c r="J10" s="3">
        <f t="shared" si="3"/>
        <v>0</v>
      </c>
      <c r="K10" s="3">
        <f t="shared" si="3"/>
        <v>0</v>
      </c>
      <c r="L10" s="3">
        <f t="shared" si="3"/>
        <v>0</v>
      </c>
      <c r="M10" s="3">
        <f t="shared" si="3"/>
        <v>0</v>
      </c>
      <c r="N10" s="3">
        <f t="shared" si="3"/>
        <v>0</v>
      </c>
      <c r="O10" s="3">
        <f t="shared" si="3"/>
        <v>0</v>
      </c>
      <c r="P10" s="11">
        <f t="shared" si="3"/>
        <v>0</v>
      </c>
      <c r="Q10" s="11" t="str">
        <f t="shared" si="3"/>
        <v>X</v>
      </c>
      <c r="R10" s="12" t="str">
        <f t="shared" si="3"/>
        <v>X</v>
      </c>
      <c r="S10" s="12" t="str">
        <f t="shared" si="3"/>
        <v>X</v>
      </c>
      <c r="T10" s="9" t="str">
        <f t="shared" si="3"/>
        <v>X</v>
      </c>
      <c r="U10" s="14">
        <f t="shared" si="3"/>
        <v>0</v>
      </c>
      <c r="V10" s="15">
        <f t="shared" si="3"/>
        <v>0</v>
      </c>
      <c r="W10" s="15">
        <f t="shared" si="3"/>
        <v>0</v>
      </c>
      <c r="X10" s="3">
        <f t="shared" si="3"/>
        <v>0</v>
      </c>
      <c r="Y10" s="3">
        <f t="shared" si="3"/>
        <v>0</v>
      </c>
    </row>
    <row r="11" spans="1:25" x14ac:dyDescent="0.25">
      <c r="A11" s="3" t="s">
        <v>8</v>
      </c>
      <c r="B11" s="3" t="s">
        <v>15</v>
      </c>
      <c r="C11" s="3">
        <v>3</v>
      </c>
      <c r="D11" s="4">
        <f>MAX(E8:E10)+1</f>
        <v>45413</v>
      </c>
      <c r="E11" s="4">
        <f t="shared" si="4"/>
        <v>45415</v>
      </c>
      <c r="F11" s="3">
        <f t="shared" si="2"/>
        <v>0</v>
      </c>
      <c r="G11" s="3">
        <f t="shared" si="3"/>
        <v>0</v>
      </c>
      <c r="H11" s="3">
        <f t="shared" si="3"/>
        <v>0</v>
      </c>
      <c r="I11" s="3">
        <f t="shared" si="3"/>
        <v>0</v>
      </c>
      <c r="J11" s="3">
        <f t="shared" si="3"/>
        <v>0</v>
      </c>
      <c r="K11" s="3">
        <f t="shared" si="3"/>
        <v>0</v>
      </c>
      <c r="L11" s="3">
        <f t="shared" si="3"/>
        <v>0</v>
      </c>
      <c r="M11" s="3">
        <f t="shared" si="3"/>
        <v>0</v>
      </c>
      <c r="N11" s="3">
        <f t="shared" si="3"/>
        <v>0</v>
      </c>
      <c r="O11" s="3">
        <f t="shared" si="3"/>
        <v>0</v>
      </c>
      <c r="P11" s="3">
        <f t="shared" si="3"/>
        <v>0</v>
      </c>
      <c r="Q11" s="16">
        <f t="shared" si="3"/>
        <v>0</v>
      </c>
      <c r="R11" s="10">
        <f t="shared" si="3"/>
        <v>0</v>
      </c>
      <c r="S11" s="10">
        <f t="shared" si="3"/>
        <v>0</v>
      </c>
      <c r="T11" s="13">
        <f t="shared" si="3"/>
        <v>0</v>
      </c>
      <c r="U11" s="11" t="str">
        <f t="shared" si="3"/>
        <v>X</v>
      </c>
      <c r="V11" s="12" t="str">
        <f t="shared" si="3"/>
        <v>X</v>
      </c>
      <c r="W11" s="9" t="str">
        <f t="shared" si="3"/>
        <v>X</v>
      </c>
      <c r="X11" s="9">
        <f t="shared" si="3"/>
        <v>0</v>
      </c>
      <c r="Y11" s="3">
        <f t="shared" si="3"/>
        <v>0</v>
      </c>
    </row>
    <row r="12" spans="1:25" x14ac:dyDescent="0.25">
      <c r="A12" s="3" t="s">
        <v>9</v>
      </c>
      <c r="B12" s="3" t="s">
        <v>16</v>
      </c>
      <c r="C12" s="3">
        <v>1</v>
      </c>
      <c r="D12" s="4">
        <f>MAX(E5:E6)+1</f>
        <v>45409</v>
      </c>
      <c r="E12" s="4">
        <f t="shared" si="4"/>
        <v>45409</v>
      </c>
      <c r="F12" s="3">
        <f t="shared" si="2"/>
        <v>0</v>
      </c>
      <c r="G12" s="3">
        <f t="shared" si="3"/>
        <v>0</v>
      </c>
      <c r="H12" s="3">
        <f t="shared" si="3"/>
        <v>0</v>
      </c>
      <c r="I12" s="3">
        <f t="shared" si="3"/>
        <v>0</v>
      </c>
      <c r="J12" s="3">
        <f t="shared" si="3"/>
        <v>0</v>
      </c>
      <c r="K12" s="3">
        <f t="shared" si="3"/>
        <v>0</v>
      </c>
      <c r="L12" s="3">
        <f t="shared" si="3"/>
        <v>0</v>
      </c>
      <c r="M12" s="3">
        <f t="shared" si="3"/>
        <v>0</v>
      </c>
      <c r="N12" s="3">
        <f t="shared" si="3"/>
        <v>0</v>
      </c>
      <c r="O12" s="3">
        <f t="shared" si="3"/>
        <v>0</v>
      </c>
      <c r="P12" s="11">
        <f t="shared" si="3"/>
        <v>0</v>
      </c>
      <c r="Q12" s="3" t="str">
        <f t="shared" si="3"/>
        <v>X</v>
      </c>
      <c r="R12" s="9">
        <f t="shared" si="3"/>
        <v>0</v>
      </c>
      <c r="S12" s="3">
        <f t="shared" si="3"/>
        <v>0</v>
      </c>
      <c r="T12" s="3">
        <f t="shared" si="3"/>
        <v>0</v>
      </c>
      <c r="U12" s="10">
        <f t="shared" si="3"/>
        <v>0</v>
      </c>
      <c r="V12" s="10">
        <f t="shared" si="3"/>
        <v>0</v>
      </c>
      <c r="W12" s="10">
        <f t="shared" si="3"/>
        <v>0</v>
      </c>
      <c r="X12" s="15">
        <f t="shared" si="3"/>
        <v>0</v>
      </c>
      <c r="Y12" s="15">
        <f t="shared" si="3"/>
        <v>0</v>
      </c>
    </row>
    <row r="13" spans="1:25" x14ac:dyDescent="0.25">
      <c r="A13" s="3" t="s">
        <v>10</v>
      </c>
      <c r="B13" s="3" t="s">
        <v>8</v>
      </c>
      <c r="C13" s="3">
        <v>2</v>
      </c>
      <c r="D13" s="4">
        <f>E11+1</f>
        <v>45416</v>
      </c>
      <c r="E13" s="4">
        <f t="shared" si="4"/>
        <v>45417</v>
      </c>
      <c r="F13" s="3">
        <f t="shared" si="2"/>
        <v>0</v>
      </c>
      <c r="G13" s="3">
        <f t="shared" si="3"/>
        <v>0</v>
      </c>
      <c r="H13" s="3">
        <f t="shared" si="3"/>
        <v>0</v>
      </c>
      <c r="I13" s="3">
        <f t="shared" si="3"/>
        <v>0</v>
      </c>
      <c r="J13" s="3">
        <f t="shared" si="3"/>
        <v>0</v>
      </c>
      <c r="K13" s="3">
        <f t="shared" si="3"/>
        <v>0</v>
      </c>
      <c r="L13" s="3">
        <f t="shared" si="3"/>
        <v>0</v>
      </c>
      <c r="M13" s="3">
        <f t="shared" si="3"/>
        <v>0</v>
      </c>
      <c r="N13" s="3">
        <f t="shared" si="3"/>
        <v>0</v>
      </c>
      <c r="O13" s="3">
        <f t="shared" si="3"/>
        <v>0</v>
      </c>
      <c r="P13" s="3">
        <f t="shared" si="3"/>
        <v>0</v>
      </c>
      <c r="Q13" s="10">
        <f t="shared" si="3"/>
        <v>0</v>
      </c>
      <c r="R13" s="3">
        <f t="shared" si="3"/>
        <v>0</v>
      </c>
      <c r="S13" s="3">
        <f t="shared" si="3"/>
        <v>0</v>
      </c>
      <c r="T13" s="3">
        <f t="shared" si="3"/>
        <v>0</v>
      </c>
      <c r="U13" s="3">
        <f t="shared" si="3"/>
        <v>0</v>
      </c>
      <c r="V13" s="3">
        <f t="shared" si="3"/>
        <v>0</v>
      </c>
      <c r="W13" s="11">
        <f t="shared" si="3"/>
        <v>0</v>
      </c>
      <c r="X13" s="11" t="str">
        <f t="shared" si="3"/>
        <v>X</v>
      </c>
      <c r="Y13" s="9" t="str">
        <f t="shared" si="3"/>
        <v>X</v>
      </c>
    </row>
  </sheetData>
  <conditionalFormatting sqref="F4:Y4">
    <cfRule type="cellIs" dxfId="28" priority="15" operator="equal">
      <formula>"X"</formula>
    </cfRule>
    <cfRule type="cellIs" dxfId="27" priority="14" operator="equal">
      <formula>0</formula>
    </cfRule>
  </conditionalFormatting>
  <conditionalFormatting sqref="F5:Y5">
    <cfRule type="cellIs" dxfId="26" priority="12" operator="equal">
      <formula>0</formula>
    </cfRule>
    <cfRule type="cellIs" dxfId="25" priority="13" operator="equal">
      <formula>"X"</formula>
    </cfRule>
  </conditionalFormatting>
  <conditionalFormatting sqref="F6:Y6">
    <cfRule type="cellIs" dxfId="24" priority="11" operator="equal">
      <formula>0</formula>
    </cfRule>
    <cfRule type="cellIs" dxfId="23" priority="10" operator="equal">
      <formula>"X"</formula>
    </cfRule>
  </conditionalFormatting>
  <conditionalFormatting sqref="F7:Y7">
    <cfRule type="cellIs" dxfId="22" priority="9" operator="equal">
      <formula>0</formula>
    </cfRule>
    <cfRule type="cellIs" dxfId="21" priority="7" operator="equal">
      <formula>"X"</formula>
    </cfRule>
  </conditionalFormatting>
  <conditionalFormatting sqref="F8:Y13">
    <cfRule type="cellIs" dxfId="20" priority="8" operator="equal">
      <formula>0</formula>
    </cfRule>
  </conditionalFormatting>
  <conditionalFormatting sqref="F8:Y8">
    <cfRule type="cellIs" dxfId="19" priority="6" operator="equal">
      <formula>"X"</formula>
    </cfRule>
  </conditionalFormatting>
  <conditionalFormatting sqref="F9:Y9">
    <cfRule type="cellIs" dxfId="18" priority="5" operator="equal">
      <formula>"X"</formula>
    </cfRule>
  </conditionalFormatting>
  <conditionalFormatting sqref="F10:Y10">
    <cfRule type="cellIs" dxfId="17" priority="4" operator="equal">
      <formula>"X"</formula>
    </cfRule>
  </conditionalFormatting>
  <conditionalFormatting sqref="F11:Y11">
    <cfRule type="cellIs" dxfId="16" priority="3" operator="equal">
      <formula>"X"</formula>
    </cfRule>
  </conditionalFormatting>
  <conditionalFormatting sqref="F12:Y12">
    <cfRule type="cellIs" dxfId="15" priority="2" operator="equal">
      <formula>"X"</formula>
    </cfRule>
  </conditionalFormatting>
  <conditionalFormatting sqref="F13:Y13">
    <cfRule type="cellIs" dxfId="0" priority="1" operator="equal">
      <formula>"X"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Diagramma di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2024-04-16T09:32:38Z</dcterms:created>
  <dcterms:modified xsi:type="dcterms:W3CDTF">2024-04-16T10:13:56Z</dcterms:modified>
</cp:coreProperties>
</file>