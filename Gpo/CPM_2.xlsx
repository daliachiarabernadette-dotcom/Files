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TENTE16\Documents\D'Alia Chiara 5B\5B\Gpo\"/>
    </mc:Choice>
  </mc:AlternateContent>
  <bookViews>
    <workbookView xWindow="0" yWindow="0" windowWidth="28800" windowHeight="1233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7" i="1" l="1"/>
  <c r="B3" i="1"/>
  <c r="G7" i="1" l="1"/>
  <c r="G6" i="1"/>
  <c r="H6" i="1"/>
  <c r="G8" i="1" s="1"/>
  <c r="H5" i="1"/>
  <c r="G5" i="1"/>
  <c r="H8" i="1" l="1"/>
  <c r="G10" i="1" s="1"/>
  <c r="T8" i="1"/>
  <c r="X8" i="1"/>
  <c r="AB8" i="1"/>
  <c r="AF8" i="1"/>
  <c r="AJ8" i="1"/>
  <c r="Q8" i="1"/>
  <c r="U8" i="1"/>
  <c r="Y8" i="1"/>
  <c r="AC8" i="1"/>
  <c r="AG8" i="1"/>
  <c r="AK8" i="1"/>
  <c r="R8" i="1"/>
  <c r="V8" i="1"/>
  <c r="Z8" i="1"/>
  <c r="AD8" i="1"/>
  <c r="AH8" i="1"/>
  <c r="AL8" i="1"/>
  <c r="AA8" i="1"/>
  <c r="AE8" i="1"/>
  <c r="S8" i="1"/>
  <c r="AI8" i="1"/>
  <c r="W8" i="1"/>
  <c r="AM8" i="1"/>
  <c r="P8" i="1"/>
  <c r="W7" i="1"/>
  <c r="AA7" i="1"/>
  <c r="AM7" i="1"/>
  <c r="T7" i="1"/>
  <c r="AF7" i="1"/>
  <c r="AJ7" i="1"/>
  <c r="Y7" i="1"/>
  <c r="AC7" i="1"/>
  <c r="R7" i="1"/>
  <c r="AH7" i="1"/>
  <c r="Z7" i="1"/>
  <c r="P7" i="1"/>
  <c r="R6" i="1"/>
  <c r="V6" i="1"/>
  <c r="Z6" i="1"/>
  <c r="AD6" i="1"/>
  <c r="AH6" i="1"/>
  <c r="AL6" i="1"/>
  <c r="S6" i="1"/>
  <c r="W6" i="1"/>
  <c r="AA6" i="1"/>
  <c r="AE6" i="1"/>
  <c r="AI6" i="1"/>
  <c r="AM6" i="1"/>
  <c r="T6" i="1"/>
  <c r="X6" i="1"/>
  <c r="AB6" i="1"/>
  <c r="AF6" i="1"/>
  <c r="AJ6" i="1"/>
  <c r="Y6" i="1"/>
  <c r="P6" i="1"/>
  <c r="AC6" i="1"/>
  <c r="Q6" i="1"/>
  <c r="AG6" i="1"/>
  <c r="U6" i="1"/>
  <c r="AK6" i="1"/>
  <c r="H7" i="1"/>
  <c r="G9" i="1" s="1"/>
  <c r="H9" i="1" l="1"/>
  <c r="G11" i="1" s="1"/>
  <c r="AL7" i="1"/>
  <c r="AK7" i="1"/>
  <c r="U7" i="1"/>
  <c r="AB7" i="1"/>
  <c r="AI7" i="1"/>
  <c r="S7" i="1"/>
  <c r="AD7" i="1"/>
  <c r="V7" i="1"/>
  <c r="AG7" i="1"/>
  <c r="Q7" i="1"/>
  <c r="X7" i="1"/>
  <c r="AE7" i="1"/>
  <c r="X10" i="1"/>
  <c r="AB10" i="1"/>
  <c r="AF10" i="1"/>
  <c r="Q10" i="1"/>
  <c r="U10" i="1"/>
  <c r="Y10" i="1"/>
  <c r="AG10" i="1"/>
  <c r="AK10" i="1"/>
  <c r="P10" i="1"/>
  <c r="V10" i="1"/>
  <c r="Z10" i="1"/>
  <c r="AD10" i="1"/>
  <c r="AL10" i="1"/>
  <c r="S10" i="1"/>
  <c r="W10" i="1"/>
  <c r="AE10" i="1"/>
  <c r="AI10" i="1"/>
  <c r="AM10" i="1"/>
  <c r="H10" i="1"/>
  <c r="AL9" i="1" l="1"/>
  <c r="AK9" i="1"/>
  <c r="AJ9" i="1"/>
  <c r="P9" i="1"/>
  <c r="AA9" i="1"/>
  <c r="V9" i="1"/>
  <c r="AH9" i="1"/>
  <c r="AG9" i="1"/>
  <c r="AF9" i="1"/>
  <c r="AM9" i="1"/>
  <c r="T9" i="1"/>
  <c r="R9" i="1"/>
  <c r="AA10" i="1"/>
  <c r="AH10" i="1"/>
  <c r="R10" i="1"/>
  <c r="AC10" i="1"/>
  <c r="AJ10" i="1"/>
  <c r="T10" i="1"/>
  <c r="AD9" i="1"/>
  <c r="AC9" i="1"/>
  <c r="AB9" i="1"/>
  <c r="AI9" i="1"/>
  <c r="W9" i="1"/>
  <c r="U9" i="1"/>
  <c r="U11" i="1"/>
  <c r="Y11" i="1"/>
  <c r="AK11" i="1"/>
  <c r="R11" i="1"/>
  <c r="AD11" i="1"/>
  <c r="AH11" i="1"/>
  <c r="W11" i="1"/>
  <c r="AA11" i="1"/>
  <c r="AM11" i="1"/>
  <c r="P11" i="1"/>
  <c r="AB11" i="1"/>
  <c r="AF11" i="1"/>
  <c r="H11" i="1"/>
  <c r="G12" i="1" s="1"/>
  <c r="Z9" i="1"/>
  <c r="Y9" i="1"/>
  <c r="X9" i="1"/>
  <c r="AE9" i="1"/>
  <c r="S9" i="1"/>
  <c r="Q9" i="1"/>
  <c r="V12" i="1" l="1"/>
  <c r="Z12" i="1"/>
  <c r="AD12" i="1"/>
  <c r="AL12" i="1"/>
  <c r="S12" i="1"/>
  <c r="W12" i="1"/>
  <c r="AE12" i="1"/>
  <c r="AI12" i="1"/>
  <c r="AM12" i="1"/>
  <c r="X12" i="1"/>
  <c r="AB12" i="1"/>
  <c r="AF12" i="1"/>
  <c r="Y12" i="1"/>
  <c r="AC12" i="1"/>
  <c r="Q12" i="1"/>
  <c r="U12" i="1"/>
  <c r="AK12" i="1"/>
  <c r="P12" i="1"/>
  <c r="H12" i="1"/>
  <c r="G13" i="1" s="1"/>
  <c r="Z11" i="1"/>
  <c r="X11" i="1"/>
  <c r="AI11" i="1"/>
  <c r="S11" i="1"/>
  <c r="AG11" i="1"/>
  <c r="Q11" i="1"/>
  <c r="AJ11" i="1"/>
  <c r="T11" i="1"/>
  <c r="AE11" i="1"/>
  <c r="AL11" i="1"/>
  <c r="V11" i="1"/>
  <c r="AC11" i="1"/>
  <c r="W13" i="1" l="1"/>
  <c r="AA13" i="1"/>
  <c r="AE13" i="1"/>
  <c r="AM13" i="1"/>
  <c r="P13" i="1"/>
  <c r="T13" i="1"/>
  <c r="AB13" i="1"/>
  <c r="AF13" i="1"/>
  <c r="AJ13" i="1"/>
  <c r="U13" i="1"/>
  <c r="Y13" i="1"/>
  <c r="AC13" i="1"/>
  <c r="AK13" i="1"/>
  <c r="V13" i="1"/>
  <c r="AL13" i="1"/>
  <c r="AD13" i="1"/>
  <c r="R13" i="1"/>
  <c r="AH13" i="1"/>
  <c r="H13" i="1"/>
  <c r="AG12" i="1"/>
  <c r="AJ12" i="1"/>
  <c r="T12" i="1"/>
  <c r="AA12" i="1"/>
  <c r="AH12" i="1"/>
  <c r="R12" i="1"/>
  <c r="G15" i="1" l="1"/>
  <c r="G14" i="1"/>
  <c r="Z13" i="1"/>
  <c r="AG13" i="1"/>
  <c r="Q13" i="1"/>
  <c r="X13" i="1"/>
  <c r="AI13" i="1"/>
  <c r="S13" i="1"/>
  <c r="Y14" i="1" l="1"/>
  <c r="P14" i="1"/>
  <c r="AD14" i="1"/>
  <c r="S14" i="1"/>
  <c r="AA14" i="1"/>
  <c r="H14" i="1"/>
  <c r="G16" i="1" s="1"/>
  <c r="U15" i="1"/>
  <c r="Y15" i="1"/>
  <c r="AC15" i="1"/>
  <c r="AK15" i="1"/>
  <c r="R15" i="1"/>
  <c r="V15" i="1"/>
  <c r="AD15" i="1"/>
  <c r="AH15" i="1"/>
  <c r="AL15" i="1"/>
  <c r="W15" i="1"/>
  <c r="AA15" i="1"/>
  <c r="AE15" i="1"/>
  <c r="AM15" i="1"/>
  <c r="P15" i="1"/>
  <c r="X15" i="1"/>
  <c r="AF15" i="1"/>
  <c r="T15" i="1"/>
  <c r="AJ15" i="1"/>
  <c r="H15" i="1"/>
  <c r="Q15" i="1" s="1"/>
  <c r="AF14" i="1" l="1"/>
  <c r="AM14" i="1"/>
  <c r="AE14" i="1"/>
  <c r="Z14" i="1"/>
  <c r="AK14" i="1"/>
  <c r="U14" i="1"/>
  <c r="AB14" i="1"/>
  <c r="AB15" i="1"/>
  <c r="AI15" i="1"/>
  <c r="S15" i="1"/>
  <c r="Z15" i="1"/>
  <c r="AG15" i="1"/>
  <c r="W14" i="1"/>
  <c r="AL14" i="1"/>
  <c r="V14" i="1"/>
  <c r="AG14" i="1"/>
  <c r="Q14" i="1"/>
  <c r="X14" i="1"/>
  <c r="V16" i="1"/>
  <c r="AL16" i="1"/>
  <c r="AE16" i="1"/>
  <c r="X16" i="1"/>
  <c r="Q16" i="1"/>
  <c r="AK16" i="1"/>
  <c r="H16" i="1"/>
  <c r="J16" i="1" s="1"/>
  <c r="AI14" i="1"/>
  <c r="AH14" i="1"/>
  <c r="R14" i="1"/>
  <c r="AC14" i="1"/>
  <c r="AJ14" i="1"/>
  <c r="T14" i="1"/>
  <c r="I16" i="1" l="1"/>
  <c r="L16" i="1"/>
  <c r="M16" i="1" s="1"/>
  <c r="N16" i="1" s="1"/>
  <c r="U16" i="1"/>
  <c r="T16" i="1"/>
  <c r="AA16" i="1"/>
  <c r="AH16" i="1"/>
  <c r="R16" i="1"/>
  <c r="AC16" i="1"/>
  <c r="P16" i="1"/>
  <c r="AF16" i="1"/>
  <c r="AM16" i="1"/>
  <c r="W16" i="1"/>
  <c r="AD16" i="1"/>
  <c r="AJ16" i="1"/>
  <c r="Y16" i="1"/>
  <c r="AG16" i="1"/>
  <c r="AB16" i="1"/>
  <c r="AI16" i="1"/>
  <c r="S16" i="1"/>
  <c r="Z16" i="1"/>
  <c r="T31" i="1" l="1"/>
  <c r="X31" i="1"/>
  <c r="AB31" i="1"/>
  <c r="AF31" i="1"/>
  <c r="AJ31" i="1"/>
  <c r="Q31" i="1"/>
  <c r="U31" i="1"/>
  <c r="Y31" i="1"/>
  <c r="AC31" i="1"/>
  <c r="AG31" i="1"/>
  <c r="AK31" i="1"/>
  <c r="P31" i="1"/>
  <c r="R31" i="1"/>
  <c r="V31" i="1"/>
  <c r="Z31" i="1"/>
  <c r="AD31" i="1"/>
  <c r="AH31" i="1"/>
  <c r="AL31" i="1"/>
  <c r="AA31" i="1"/>
  <c r="AE31" i="1"/>
  <c r="S31" i="1"/>
  <c r="AI31" i="1"/>
  <c r="W31" i="1"/>
  <c r="AM31" i="1"/>
  <c r="J14" i="1"/>
  <c r="J15" i="1"/>
  <c r="I15" i="1" l="1"/>
  <c r="L15" i="1"/>
  <c r="M15" i="1" s="1"/>
  <c r="N15" i="1" s="1"/>
  <c r="I14" i="1"/>
  <c r="L14" i="1"/>
  <c r="M14" i="1" s="1"/>
  <c r="N14" i="1" s="1"/>
  <c r="R29" i="1" l="1"/>
  <c r="V29" i="1"/>
  <c r="Z29" i="1"/>
  <c r="AD29" i="1"/>
  <c r="AH29" i="1"/>
  <c r="AL29" i="1"/>
  <c r="S29" i="1"/>
  <c r="W29" i="1"/>
  <c r="AA29" i="1"/>
  <c r="AE29" i="1"/>
  <c r="AI29" i="1"/>
  <c r="AM29" i="1"/>
  <c r="T29" i="1"/>
  <c r="X29" i="1"/>
  <c r="AB29" i="1"/>
  <c r="AF29" i="1"/>
  <c r="AJ29" i="1"/>
  <c r="Y29" i="1"/>
  <c r="AC29" i="1"/>
  <c r="P29" i="1"/>
  <c r="Q29" i="1"/>
  <c r="AG29" i="1"/>
  <c r="U29" i="1"/>
  <c r="AK29" i="1"/>
  <c r="J13" i="1"/>
  <c r="S30" i="1"/>
  <c r="W30" i="1"/>
  <c r="AA30" i="1"/>
  <c r="AE30" i="1"/>
  <c r="AI30" i="1"/>
  <c r="AM30" i="1"/>
  <c r="P30" i="1"/>
  <c r="T30" i="1"/>
  <c r="X30" i="1"/>
  <c r="AB30" i="1"/>
  <c r="AF30" i="1"/>
  <c r="AJ30" i="1"/>
  <c r="Q30" i="1"/>
  <c r="U30" i="1"/>
  <c r="Y30" i="1"/>
  <c r="AC30" i="1"/>
  <c r="AG30" i="1"/>
  <c r="AK30" i="1"/>
  <c r="R30" i="1"/>
  <c r="AH30" i="1"/>
  <c r="V30" i="1"/>
  <c r="AL30" i="1"/>
  <c r="Z30" i="1"/>
  <c r="AD30" i="1"/>
  <c r="L13" i="1" l="1"/>
  <c r="M13" i="1" s="1"/>
  <c r="N13" i="1" s="1"/>
  <c r="I13" i="1"/>
  <c r="Q28" i="1" l="1"/>
  <c r="U28" i="1"/>
  <c r="Y28" i="1"/>
  <c r="AC28" i="1"/>
  <c r="AG28" i="1"/>
  <c r="AK28" i="1"/>
  <c r="R28" i="1"/>
  <c r="V28" i="1"/>
  <c r="Z28" i="1"/>
  <c r="AD28" i="1"/>
  <c r="AH28" i="1"/>
  <c r="AL28" i="1"/>
  <c r="S28" i="1"/>
  <c r="W28" i="1"/>
  <c r="AA28" i="1"/>
  <c r="AE28" i="1"/>
  <c r="AI28" i="1"/>
  <c r="AM28" i="1"/>
  <c r="P28" i="1"/>
  <c r="AF28" i="1"/>
  <c r="T28" i="1"/>
  <c r="AJ28" i="1"/>
  <c r="X28" i="1"/>
  <c r="AB28" i="1"/>
  <c r="J12" i="1"/>
  <c r="L12" i="1" l="1"/>
  <c r="M12" i="1" s="1"/>
  <c r="N12" i="1" s="1"/>
  <c r="I12" i="1"/>
  <c r="T27" i="1" l="1"/>
  <c r="X27" i="1"/>
  <c r="AB27" i="1"/>
  <c r="AF27" i="1"/>
  <c r="AJ27" i="1"/>
  <c r="Q27" i="1"/>
  <c r="U27" i="1"/>
  <c r="Y27" i="1"/>
  <c r="AC27" i="1"/>
  <c r="AG27" i="1"/>
  <c r="AK27" i="1"/>
  <c r="P27" i="1"/>
  <c r="R27" i="1"/>
  <c r="V27" i="1"/>
  <c r="Z27" i="1"/>
  <c r="AD27" i="1"/>
  <c r="AH27" i="1"/>
  <c r="AL27" i="1"/>
  <c r="W27" i="1"/>
  <c r="AM27" i="1"/>
  <c r="AA27" i="1"/>
  <c r="AE27" i="1"/>
  <c r="S27" i="1"/>
  <c r="AI27" i="1"/>
  <c r="J10" i="1"/>
  <c r="J11" i="1"/>
  <c r="L11" i="1" l="1"/>
  <c r="M11" i="1" s="1"/>
  <c r="N11" i="1" s="1"/>
  <c r="I11" i="1"/>
  <c r="I10" i="1"/>
  <c r="L10" i="1"/>
  <c r="M10" i="1" s="1"/>
  <c r="N10" i="1" s="1"/>
  <c r="R25" i="1" l="1"/>
  <c r="V25" i="1"/>
  <c r="Z25" i="1"/>
  <c r="AD25" i="1"/>
  <c r="AH25" i="1"/>
  <c r="AL25" i="1"/>
  <c r="S25" i="1"/>
  <c r="W25" i="1"/>
  <c r="AA25" i="1"/>
  <c r="AE25" i="1"/>
  <c r="AI25" i="1"/>
  <c r="AM25" i="1"/>
  <c r="T25" i="1"/>
  <c r="X25" i="1"/>
  <c r="AB25" i="1"/>
  <c r="AF25" i="1"/>
  <c r="AJ25" i="1"/>
  <c r="U25" i="1"/>
  <c r="AK25" i="1"/>
  <c r="P25" i="1"/>
  <c r="Y25" i="1"/>
  <c r="AC25" i="1"/>
  <c r="Q25" i="1"/>
  <c r="AG25" i="1"/>
  <c r="J8" i="1"/>
  <c r="S26" i="1"/>
  <c r="W26" i="1"/>
  <c r="AA26" i="1"/>
  <c r="AE26" i="1"/>
  <c r="AI26" i="1"/>
  <c r="AM26" i="1"/>
  <c r="P26" i="1"/>
  <c r="T26" i="1"/>
  <c r="X26" i="1"/>
  <c r="AB26" i="1"/>
  <c r="AF26" i="1"/>
  <c r="AJ26" i="1"/>
  <c r="Q26" i="1"/>
  <c r="U26" i="1"/>
  <c r="Y26" i="1"/>
  <c r="AC26" i="1"/>
  <c r="AG26" i="1"/>
  <c r="AK26" i="1"/>
  <c r="AD26" i="1"/>
  <c r="R26" i="1"/>
  <c r="AH26" i="1"/>
  <c r="V26" i="1"/>
  <c r="AL26" i="1"/>
  <c r="Z26" i="1"/>
  <c r="J9" i="1"/>
  <c r="L9" i="1" l="1"/>
  <c r="M9" i="1" s="1"/>
  <c r="N9" i="1" s="1"/>
  <c r="I9" i="1"/>
  <c r="L8" i="1"/>
  <c r="M8" i="1" s="1"/>
  <c r="N8" i="1" s="1"/>
  <c r="I8" i="1"/>
  <c r="T23" i="1" l="1"/>
  <c r="X23" i="1"/>
  <c r="AB23" i="1"/>
  <c r="AF23" i="1"/>
  <c r="AJ23" i="1"/>
  <c r="Q23" i="1"/>
  <c r="U23" i="1"/>
  <c r="Y23" i="1"/>
  <c r="AC23" i="1"/>
  <c r="AG23" i="1"/>
  <c r="AK23" i="1"/>
  <c r="P23" i="1"/>
  <c r="R23" i="1"/>
  <c r="V23" i="1"/>
  <c r="Z23" i="1"/>
  <c r="AD23" i="1"/>
  <c r="AH23" i="1"/>
  <c r="AL23" i="1"/>
  <c r="S23" i="1"/>
  <c r="AI23" i="1"/>
  <c r="W23" i="1"/>
  <c r="AM23" i="1"/>
  <c r="AA23" i="1"/>
  <c r="AE23" i="1"/>
  <c r="J6" i="1"/>
  <c r="Q24" i="1"/>
  <c r="U24" i="1"/>
  <c r="Y24" i="1"/>
  <c r="AC24" i="1"/>
  <c r="AG24" i="1"/>
  <c r="AK24" i="1"/>
  <c r="R24" i="1"/>
  <c r="V24" i="1"/>
  <c r="Z24" i="1"/>
  <c r="AD24" i="1"/>
  <c r="AH24" i="1"/>
  <c r="AL24" i="1"/>
  <c r="S24" i="1"/>
  <c r="W24" i="1"/>
  <c r="AA24" i="1"/>
  <c r="AE24" i="1"/>
  <c r="AI24" i="1"/>
  <c r="AM24" i="1"/>
  <c r="P24" i="1"/>
  <c r="AB24" i="1"/>
  <c r="AF24" i="1"/>
  <c r="T24" i="1"/>
  <c r="AJ24" i="1"/>
  <c r="X24" i="1"/>
  <c r="J7" i="1"/>
  <c r="L6" i="1" l="1"/>
  <c r="M6" i="1" s="1"/>
  <c r="N6" i="1" s="1"/>
  <c r="I6" i="1"/>
  <c r="L7" i="1"/>
  <c r="M7" i="1" s="1"/>
  <c r="N7" i="1" s="1"/>
  <c r="I7" i="1"/>
  <c r="S22" i="1" l="1"/>
  <c r="W22" i="1"/>
  <c r="AA22" i="1"/>
  <c r="AE22" i="1"/>
  <c r="AI22" i="1"/>
  <c r="AM22" i="1"/>
  <c r="P22" i="1"/>
  <c r="T22" i="1"/>
  <c r="X22" i="1"/>
  <c r="AB22" i="1"/>
  <c r="AF22" i="1"/>
  <c r="AJ22" i="1"/>
  <c r="Q22" i="1"/>
  <c r="U22" i="1"/>
  <c r="Y22" i="1"/>
  <c r="AC22" i="1"/>
  <c r="AG22" i="1"/>
  <c r="AK22" i="1"/>
  <c r="Z22" i="1"/>
  <c r="AD22" i="1"/>
  <c r="R22" i="1"/>
  <c r="AH22" i="1"/>
  <c r="V22" i="1"/>
  <c r="AL22" i="1"/>
  <c r="R21" i="1"/>
  <c r="V21" i="1"/>
  <c r="Z21" i="1"/>
  <c r="AD21" i="1"/>
  <c r="AH21" i="1"/>
  <c r="AL21" i="1"/>
  <c r="S21" i="1"/>
  <c r="W21" i="1"/>
  <c r="AA21" i="1"/>
  <c r="AE21" i="1"/>
  <c r="AI21" i="1"/>
  <c r="AM21" i="1"/>
  <c r="T21" i="1"/>
  <c r="X21" i="1"/>
  <c r="AB21" i="1"/>
  <c r="AF21" i="1"/>
  <c r="AJ21" i="1"/>
  <c r="P21" i="1"/>
  <c r="Q21" i="1"/>
  <c r="AG21" i="1"/>
  <c r="U21" i="1"/>
  <c r="AK21" i="1"/>
  <c r="Y21" i="1"/>
  <c r="AC21" i="1"/>
  <c r="J5" i="1"/>
  <c r="I5" i="1"/>
</calcChain>
</file>

<file path=xl/sharedStrings.xml><?xml version="1.0" encoding="utf-8"?>
<sst xmlns="http://schemas.openxmlformats.org/spreadsheetml/2006/main" count="45" uniqueCount="36">
  <si>
    <t>Per la produzione di un nuovo prodotto sono state individuate le seguenti attività con relativi tempi di completamento</t>
  </si>
  <si>
    <t>Attività</t>
  </si>
  <si>
    <t>Descrizione</t>
  </si>
  <si>
    <t>Predecessori</t>
  </si>
  <si>
    <t>Durata</t>
  </si>
  <si>
    <t>Disegno del prodotto</t>
  </si>
  <si>
    <t>Disegno della confezione</t>
  </si>
  <si>
    <t>Ordine e ricezione dei materiali per prodotto</t>
  </si>
  <si>
    <t>Ordine e ricezione dei materiali per confezione</t>
  </si>
  <si>
    <t>Assemblaggio dei prodotti</t>
  </si>
  <si>
    <t>Preparazione delle Confezioni</t>
  </si>
  <si>
    <t>Impacchettamento dei prodotti</t>
  </si>
  <si>
    <t>Test di mercato del prodotto</t>
  </si>
  <si>
    <t>Revisione del prodotto</t>
  </si>
  <si>
    <t>Revisione della confezione</t>
  </si>
  <si>
    <t>Presentazione dei risultati al CdA</t>
  </si>
  <si>
    <t>5-6</t>
  </si>
  <si>
    <t>7</t>
  </si>
  <si>
    <t>8</t>
  </si>
  <si>
    <t>9-10</t>
  </si>
  <si>
    <t>\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</si>
  <si>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Costruire il grafo delle dipendenze con predecessori e durata</t>
    </r>
    <r>
      <rPr>
        <b/>
        <sz val="12"/>
        <color theme="1"/>
        <rFont val="Times New Roman"/>
        <family val="1"/>
      </rPr>
      <t>;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</si>
  <si>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 xml:space="preserve">Schedulazione  con  CPM  “al più presto” e  “al più tardi” ; 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</si>
  <si>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 xml:space="preserve">Scorrimento, Critical Path e durata progetto 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</si>
  <si>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 xml:space="preserve">Costruire il diagramma di Gantt delle due tecniche   </t>
    </r>
  </si>
  <si>
    <t>Inizio</t>
  </si>
  <si>
    <t>Fine</t>
  </si>
  <si>
    <t>DATA_INIZIO</t>
  </si>
  <si>
    <t>*</t>
  </si>
  <si>
    <t>Nodo Fittizio</t>
  </si>
  <si>
    <t>Al più presto</t>
  </si>
  <si>
    <t>Al più tardi</t>
  </si>
  <si>
    <t>Scorrimento</t>
  </si>
  <si>
    <t>Critiche</t>
  </si>
  <si>
    <t>gg</t>
  </si>
  <si>
    <t>Durata=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</si>
</sst>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0]d\-mmm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left" vertical="center" indent="8"/>
    </xf>
    <xf numFmtId="0" fontId="0" fillId="0" borderId="2" xfId="0" applyBorder="1" applyAlignment="1">
      <alignment horizontal="center"/>
    </xf>
    <xf numFmtId="0" fontId="0" fillId="0" borderId="2" xfId="0" applyBorder="1"/>
    <xf numFmtId="49" fontId="0" fillId="0" borderId="2" xfId="0" applyNumberFormat="1" applyBorder="1" applyAlignment="1">
      <alignment horizontal="center"/>
    </xf>
    <xf numFmtId="14" fontId="0" fillId="0" borderId="0" xfId="0" applyNumberForma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4" fontId="0" fillId="2" borderId="1" xfId="0" applyNumberFormat="1" applyFill="1" applyBorder="1"/>
    <xf numFmtId="14" fontId="0" fillId="2" borderId="1" xfId="0" applyNumberForma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e" xfId="0" builtinId="0"/>
  </cellStyles>
  <dxfs count="24">
    <dxf>
      <font>
        <color rgb="FFFFC000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7030A0"/>
      </font>
      <fill>
        <patternFill>
          <bgColor rgb="FF7030A0"/>
        </patternFill>
      </fill>
    </dxf>
    <dxf>
      <font>
        <color rgb="FF002060"/>
      </font>
      <fill>
        <patternFill>
          <bgColor rgb="FF00206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7030A0"/>
      </font>
      <fill>
        <patternFill>
          <bgColor rgb="FF7030A0"/>
        </patternFill>
      </fill>
    </dxf>
    <dxf>
      <font>
        <color rgb="FF002060"/>
      </font>
      <fill>
        <patternFill>
          <bgColor rgb="FF00206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FF3300"/>
      <color rgb="FFF035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29</xdr:row>
      <xdr:rowOff>47625</xdr:rowOff>
    </xdr:from>
    <xdr:to>
      <xdr:col>3</xdr:col>
      <xdr:colOff>1209675</xdr:colOff>
      <xdr:row>33</xdr:row>
      <xdr:rowOff>19050</xdr:rowOff>
    </xdr:to>
    <xdr:sp macro="" textlink="">
      <xdr:nvSpPr>
        <xdr:cNvPr id="4" name="Ovale 3"/>
        <xdr:cNvSpPr/>
      </xdr:nvSpPr>
      <xdr:spPr>
        <a:xfrm>
          <a:off x="2638425" y="5610225"/>
          <a:ext cx="723900" cy="733425"/>
        </a:xfrm>
        <a:prstGeom prst="ellipse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2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1</xdr:col>
      <xdr:colOff>352425</xdr:colOff>
      <xdr:row>35</xdr:row>
      <xdr:rowOff>0</xdr:rowOff>
    </xdr:from>
    <xdr:to>
      <xdr:col>2</xdr:col>
      <xdr:colOff>466725</xdr:colOff>
      <xdr:row>38</xdr:row>
      <xdr:rowOff>161925</xdr:rowOff>
    </xdr:to>
    <xdr:sp macro="" textlink="">
      <xdr:nvSpPr>
        <xdr:cNvPr id="13" name="Ovale 12"/>
        <xdr:cNvSpPr/>
      </xdr:nvSpPr>
      <xdr:spPr>
        <a:xfrm>
          <a:off x="962025" y="6705600"/>
          <a:ext cx="723900" cy="733425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2800">
              <a:solidFill>
                <a:schemeClr val="tx1"/>
              </a:solidFill>
            </a:rPr>
            <a:t>*</a:t>
          </a:r>
        </a:p>
        <a:p>
          <a:pPr algn="ctr"/>
          <a:endParaRPr lang="it-IT" sz="2800"/>
        </a:p>
      </xdr:txBody>
    </xdr:sp>
    <xdr:clientData/>
  </xdr:twoCellAnchor>
  <xdr:twoCellAnchor>
    <xdr:from>
      <xdr:col>3</xdr:col>
      <xdr:colOff>314325</xdr:colOff>
      <xdr:row>39</xdr:row>
      <xdr:rowOff>114300</xdr:rowOff>
    </xdr:from>
    <xdr:to>
      <xdr:col>3</xdr:col>
      <xdr:colOff>1038225</xdr:colOff>
      <xdr:row>43</xdr:row>
      <xdr:rowOff>85725</xdr:rowOff>
    </xdr:to>
    <xdr:sp macro="" textlink="">
      <xdr:nvSpPr>
        <xdr:cNvPr id="14" name="Ovale 13"/>
        <xdr:cNvSpPr/>
      </xdr:nvSpPr>
      <xdr:spPr>
        <a:xfrm>
          <a:off x="2143125" y="7581900"/>
          <a:ext cx="723900" cy="733425"/>
        </a:xfrm>
        <a:prstGeom prst="ellipse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2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6</xdr:col>
      <xdr:colOff>142876</xdr:colOff>
      <xdr:row>33</xdr:row>
      <xdr:rowOff>152400</xdr:rowOff>
    </xdr:from>
    <xdr:to>
      <xdr:col>7</xdr:col>
      <xdr:colOff>171451</xdr:colOff>
      <xdr:row>37</xdr:row>
      <xdr:rowOff>123825</xdr:rowOff>
    </xdr:to>
    <xdr:sp macro="" textlink="">
      <xdr:nvSpPr>
        <xdr:cNvPr id="15" name="Ovale 14"/>
        <xdr:cNvSpPr/>
      </xdr:nvSpPr>
      <xdr:spPr>
        <a:xfrm>
          <a:off x="6657976" y="6477000"/>
          <a:ext cx="742950" cy="733425"/>
        </a:xfrm>
        <a:prstGeom prst="ellipse">
          <a:avLst/>
        </a:prstGeom>
        <a:solidFill>
          <a:srgbClr val="0070C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2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3</xdr:col>
      <xdr:colOff>1895475</xdr:colOff>
      <xdr:row>27</xdr:row>
      <xdr:rowOff>0</xdr:rowOff>
    </xdr:from>
    <xdr:to>
      <xdr:col>3</xdr:col>
      <xdr:colOff>2619375</xdr:colOff>
      <xdr:row>30</xdr:row>
      <xdr:rowOff>161925</xdr:rowOff>
    </xdr:to>
    <xdr:sp macro="" textlink="">
      <xdr:nvSpPr>
        <xdr:cNvPr id="16" name="Ovale 15"/>
        <xdr:cNvSpPr/>
      </xdr:nvSpPr>
      <xdr:spPr>
        <a:xfrm>
          <a:off x="3724275" y="5181600"/>
          <a:ext cx="723900" cy="733425"/>
        </a:xfrm>
        <a:prstGeom prst="ellipse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2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3</xdr:col>
      <xdr:colOff>1838325</xdr:colOff>
      <xdr:row>41</xdr:row>
      <xdr:rowOff>95250</xdr:rowOff>
    </xdr:from>
    <xdr:to>
      <xdr:col>3</xdr:col>
      <xdr:colOff>2562225</xdr:colOff>
      <xdr:row>45</xdr:row>
      <xdr:rowOff>66675</xdr:rowOff>
    </xdr:to>
    <xdr:sp macro="" textlink="">
      <xdr:nvSpPr>
        <xdr:cNvPr id="17" name="Ovale 16"/>
        <xdr:cNvSpPr/>
      </xdr:nvSpPr>
      <xdr:spPr>
        <a:xfrm>
          <a:off x="3667125" y="7943850"/>
          <a:ext cx="723900" cy="733425"/>
        </a:xfrm>
        <a:prstGeom prst="ellipse">
          <a:avLst/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2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8</xdr:col>
      <xdr:colOff>333376</xdr:colOff>
      <xdr:row>33</xdr:row>
      <xdr:rowOff>152400</xdr:rowOff>
    </xdr:from>
    <xdr:to>
      <xdr:col>9</xdr:col>
      <xdr:colOff>381001</xdr:colOff>
      <xdr:row>37</xdr:row>
      <xdr:rowOff>123825</xdr:rowOff>
    </xdr:to>
    <xdr:sp macro="" textlink="">
      <xdr:nvSpPr>
        <xdr:cNvPr id="18" name="Ovale 17"/>
        <xdr:cNvSpPr/>
      </xdr:nvSpPr>
      <xdr:spPr>
        <a:xfrm>
          <a:off x="8277226" y="6477000"/>
          <a:ext cx="762000" cy="733425"/>
        </a:xfrm>
        <a:prstGeom prst="ellipse">
          <a:avLst/>
        </a:prstGeom>
        <a:solidFill>
          <a:srgbClr val="00206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2800"/>
            <a:t>8</a:t>
          </a:r>
        </a:p>
        <a:p>
          <a:pPr algn="ctr"/>
          <a:endParaRPr lang="it-IT" sz="2800"/>
        </a:p>
      </xdr:txBody>
    </xdr:sp>
    <xdr:clientData/>
  </xdr:twoCellAnchor>
  <xdr:twoCellAnchor>
    <xdr:from>
      <xdr:col>12</xdr:col>
      <xdr:colOff>600075</xdr:colOff>
      <xdr:row>34</xdr:row>
      <xdr:rowOff>0</xdr:rowOff>
    </xdr:from>
    <xdr:to>
      <xdr:col>13</xdr:col>
      <xdr:colOff>485775</xdr:colOff>
      <xdr:row>37</xdr:row>
      <xdr:rowOff>161925</xdr:rowOff>
    </xdr:to>
    <xdr:sp macro="" textlink="">
      <xdr:nvSpPr>
        <xdr:cNvPr id="19" name="Ovale 18"/>
        <xdr:cNvSpPr/>
      </xdr:nvSpPr>
      <xdr:spPr>
        <a:xfrm>
          <a:off x="11372850" y="6515100"/>
          <a:ext cx="723900" cy="733425"/>
        </a:xfrm>
        <a:prstGeom prst="ellipse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2400"/>
            <a:t>11</a:t>
          </a:r>
        </a:p>
      </xdr:txBody>
    </xdr:sp>
    <xdr:clientData/>
  </xdr:twoCellAnchor>
  <xdr:twoCellAnchor>
    <xdr:from>
      <xdr:col>4</xdr:col>
      <xdr:colOff>495300</xdr:colOff>
      <xdr:row>41</xdr:row>
      <xdr:rowOff>95250</xdr:rowOff>
    </xdr:from>
    <xdr:to>
      <xdr:col>5</xdr:col>
      <xdr:colOff>390525</xdr:colOff>
      <xdr:row>45</xdr:row>
      <xdr:rowOff>66675</xdr:rowOff>
    </xdr:to>
    <xdr:sp macro="" textlink="">
      <xdr:nvSpPr>
        <xdr:cNvPr id="20" name="Ovale 19"/>
        <xdr:cNvSpPr/>
      </xdr:nvSpPr>
      <xdr:spPr>
        <a:xfrm>
          <a:off x="5248275" y="7943850"/>
          <a:ext cx="723900" cy="733425"/>
        </a:xfrm>
        <a:prstGeom prst="ellipse">
          <a:avLst/>
        </a:prstGeom>
        <a:solidFill>
          <a:srgbClr val="00B0F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2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561976</xdr:colOff>
      <xdr:row>29</xdr:row>
      <xdr:rowOff>76200</xdr:rowOff>
    </xdr:from>
    <xdr:to>
      <xdr:col>11</xdr:col>
      <xdr:colOff>733426</xdr:colOff>
      <xdr:row>33</xdr:row>
      <xdr:rowOff>47625</xdr:rowOff>
    </xdr:to>
    <xdr:sp macro="" textlink="">
      <xdr:nvSpPr>
        <xdr:cNvPr id="21" name="Ovale 20"/>
        <xdr:cNvSpPr/>
      </xdr:nvSpPr>
      <xdr:spPr>
        <a:xfrm>
          <a:off x="9934576" y="5638800"/>
          <a:ext cx="781050" cy="733425"/>
        </a:xfrm>
        <a:prstGeom prst="ellipse">
          <a:avLst/>
        </a:prstGeom>
        <a:solidFill>
          <a:srgbClr val="7030A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2800"/>
            <a:t>9</a:t>
          </a:r>
        </a:p>
      </xdr:txBody>
    </xdr:sp>
    <xdr:clientData/>
  </xdr:twoCellAnchor>
  <xdr:twoCellAnchor>
    <xdr:from>
      <xdr:col>10</xdr:col>
      <xdr:colOff>581026</xdr:colOff>
      <xdr:row>38</xdr:row>
      <xdr:rowOff>76200</xdr:rowOff>
    </xdr:from>
    <xdr:to>
      <xdr:col>11</xdr:col>
      <xdr:colOff>752476</xdr:colOff>
      <xdr:row>42</xdr:row>
      <xdr:rowOff>47625</xdr:rowOff>
    </xdr:to>
    <xdr:sp macro="" textlink="">
      <xdr:nvSpPr>
        <xdr:cNvPr id="22" name="Ovale 21"/>
        <xdr:cNvSpPr/>
      </xdr:nvSpPr>
      <xdr:spPr>
        <a:xfrm>
          <a:off x="9953626" y="7353300"/>
          <a:ext cx="781050" cy="733425"/>
        </a:xfrm>
        <a:prstGeom prst="ellipse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2400"/>
            <a:t>10</a:t>
          </a:r>
        </a:p>
      </xdr:txBody>
    </xdr:sp>
    <xdr:clientData/>
  </xdr:twoCellAnchor>
  <xdr:twoCellAnchor>
    <xdr:from>
      <xdr:col>4</xdr:col>
      <xdr:colOff>581025</xdr:colOff>
      <xdr:row>26</xdr:row>
      <xdr:rowOff>180975</xdr:rowOff>
    </xdr:from>
    <xdr:to>
      <xdr:col>5</xdr:col>
      <xdr:colOff>476250</xdr:colOff>
      <xdr:row>30</xdr:row>
      <xdr:rowOff>152400</xdr:rowOff>
    </xdr:to>
    <xdr:sp macro="" textlink="">
      <xdr:nvSpPr>
        <xdr:cNvPr id="23" name="Ovale 22"/>
        <xdr:cNvSpPr/>
      </xdr:nvSpPr>
      <xdr:spPr>
        <a:xfrm>
          <a:off x="5334000" y="5172075"/>
          <a:ext cx="723900" cy="733425"/>
        </a:xfrm>
        <a:prstGeom prst="ellipse">
          <a:avLst/>
        </a:prstGeom>
        <a:solidFill>
          <a:srgbClr val="00B05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2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2</xdr:col>
      <xdr:colOff>345368</xdr:colOff>
      <xdr:row>31</xdr:row>
      <xdr:rowOff>33338</xdr:rowOff>
    </xdr:from>
    <xdr:to>
      <xdr:col>3</xdr:col>
      <xdr:colOff>485775</xdr:colOff>
      <xdr:row>35</xdr:row>
      <xdr:rowOff>107408</xdr:rowOff>
    </xdr:to>
    <xdr:cxnSp macro="">
      <xdr:nvCxnSpPr>
        <xdr:cNvPr id="25" name="Connettore 2 24"/>
        <xdr:cNvCxnSpPr>
          <a:stCxn id="13" idx="7"/>
          <a:endCxn id="4" idx="2"/>
        </xdr:cNvCxnSpPr>
      </xdr:nvCxnSpPr>
      <xdr:spPr>
        <a:xfrm flipV="1">
          <a:off x="1888418" y="5976938"/>
          <a:ext cx="750007" cy="83607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360712</xdr:colOff>
      <xdr:row>38</xdr:row>
      <xdr:rowOff>54517</xdr:rowOff>
    </xdr:from>
    <xdr:to>
      <xdr:col>3</xdr:col>
      <xdr:colOff>420338</xdr:colOff>
      <xdr:row>40</xdr:row>
      <xdr:rowOff>31208</xdr:rowOff>
    </xdr:to>
    <xdr:cxnSp macro="">
      <xdr:nvCxnSpPr>
        <xdr:cNvPr id="27" name="Connettore 2 26"/>
        <xdr:cNvCxnSpPr>
          <a:stCxn id="13" idx="5"/>
          <a:endCxn id="14" idx="1"/>
        </xdr:cNvCxnSpPr>
      </xdr:nvCxnSpPr>
      <xdr:spPr>
        <a:xfrm>
          <a:off x="1579912" y="7331617"/>
          <a:ext cx="669226" cy="35769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1103662</xdr:colOff>
      <xdr:row>28</xdr:row>
      <xdr:rowOff>176213</xdr:rowOff>
    </xdr:from>
    <xdr:to>
      <xdr:col>3</xdr:col>
      <xdr:colOff>1895475</xdr:colOff>
      <xdr:row>29</xdr:row>
      <xdr:rowOff>155033</xdr:rowOff>
    </xdr:to>
    <xdr:cxnSp macro="">
      <xdr:nvCxnSpPr>
        <xdr:cNvPr id="29" name="Connettore 2 28"/>
        <xdr:cNvCxnSpPr>
          <a:stCxn id="4" idx="7"/>
          <a:endCxn id="16" idx="2"/>
        </xdr:cNvCxnSpPr>
      </xdr:nvCxnSpPr>
      <xdr:spPr>
        <a:xfrm flipV="1">
          <a:off x="2932462" y="5548313"/>
          <a:ext cx="791813" cy="169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1038225</xdr:colOff>
      <xdr:row>41</xdr:row>
      <xdr:rowOff>100013</xdr:rowOff>
    </xdr:from>
    <xdr:to>
      <xdr:col>3</xdr:col>
      <xdr:colOff>1838325</xdr:colOff>
      <xdr:row>43</xdr:row>
      <xdr:rowOff>80963</xdr:rowOff>
    </xdr:to>
    <xdr:cxnSp macro="">
      <xdr:nvCxnSpPr>
        <xdr:cNvPr id="31" name="Connettore 2 30"/>
        <xdr:cNvCxnSpPr>
          <a:stCxn id="14" idx="6"/>
          <a:endCxn id="17" idx="2"/>
        </xdr:cNvCxnSpPr>
      </xdr:nvCxnSpPr>
      <xdr:spPr>
        <a:xfrm>
          <a:off x="2867025" y="7948613"/>
          <a:ext cx="80010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2619375</xdr:colOff>
      <xdr:row>28</xdr:row>
      <xdr:rowOff>166688</xdr:rowOff>
    </xdr:from>
    <xdr:to>
      <xdr:col>4</xdr:col>
      <xdr:colOff>581025</xdr:colOff>
      <xdr:row>28</xdr:row>
      <xdr:rowOff>176213</xdr:rowOff>
    </xdr:to>
    <xdr:cxnSp macro="">
      <xdr:nvCxnSpPr>
        <xdr:cNvPr id="33" name="Connettore 2 32"/>
        <xdr:cNvCxnSpPr>
          <a:stCxn id="16" idx="6"/>
          <a:endCxn id="23" idx="2"/>
        </xdr:cNvCxnSpPr>
      </xdr:nvCxnSpPr>
      <xdr:spPr>
        <a:xfrm flipV="1">
          <a:off x="4448175" y="5538788"/>
          <a:ext cx="8858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2562225</xdr:colOff>
      <xdr:row>43</xdr:row>
      <xdr:rowOff>80963</xdr:rowOff>
    </xdr:from>
    <xdr:to>
      <xdr:col>4</xdr:col>
      <xdr:colOff>495300</xdr:colOff>
      <xdr:row>43</xdr:row>
      <xdr:rowOff>80963</xdr:rowOff>
    </xdr:to>
    <xdr:cxnSp macro="">
      <xdr:nvCxnSpPr>
        <xdr:cNvPr id="35" name="Connettore 2 34"/>
        <xdr:cNvCxnSpPr>
          <a:stCxn id="17" idx="6"/>
          <a:endCxn id="20" idx="2"/>
        </xdr:cNvCxnSpPr>
      </xdr:nvCxnSpPr>
      <xdr:spPr>
        <a:xfrm>
          <a:off x="4391025" y="8310563"/>
          <a:ext cx="8572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370237</xdr:colOff>
      <xdr:row>30</xdr:row>
      <xdr:rowOff>44992</xdr:rowOff>
    </xdr:from>
    <xdr:to>
      <xdr:col>6</xdr:col>
      <xdr:colOff>251679</xdr:colOff>
      <xdr:row>34</xdr:row>
      <xdr:rowOff>69308</xdr:rowOff>
    </xdr:to>
    <xdr:cxnSp macro="">
      <xdr:nvCxnSpPr>
        <xdr:cNvPr id="37" name="Connettore 2 36"/>
        <xdr:cNvCxnSpPr>
          <a:stCxn id="23" idx="5"/>
          <a:endCxn id="15" idx="1"/>
        </xdr:cNvCxnSpPr>
      </xdr:nvCxnSpPr>
      <xdr:spPr>
        <a:xfrm>
          <a:off x="6275737" y="5798092"/>
          <a:ext cx="491042" cy="7863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284512</xdr:colOff>
      <xdr:row>37</xdr:row>
      <xdr:rowOff>16417</xdr:rowOff>
    </xdr:from>
    <xdr:to>
      <xdr:col>6</xdr:col>
      <xdr:colOff>251679</xdr:colOff>
      <xdr:row>42</xdr:row>
      <xdr:rowOff>12158</xdr:rowOff>
    </xdr:to>
    <xdr:cxnSp macro="">
      <xdr:nvCxnSpPr>
        <xdr:cNvPr id="39" name="Connettore 2 38"/>
        <xdr:cNvCxnSpPr>
          <a:stCxn id="20" idx="7"/>
          <a:endCxn id="15" idx="3"/>
        </xdr:cNvCxnSpPr>
      </xdr:nvCxnSpPr>
      <xdr:spPr>
        <a:xfrm flipV="1">
          <a:off x="6190012" y="7103017"/>
          <a:ext cx="576767" cy="94824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171451</xdr:colOff>
      <xdr:row>35</xdr:row>
      <xdr:rowOff>138113</xdr:rowOff>
    </xdr:from>
    <xdr:to>
      <xdr:col>8</xdr:col>
      <xdr:colOff>333376</xdr:colOff>
      <xdr:row>35</xdr:row>
      <xdr:rowOff>138113</xdr:rowOff>
    </xdr:to>
    <xdr:cxnSp macro="">
      <xdr:nvCxnSpPr>
        <xdr:cNvPr id="41" name="Connettore 2 40"/>
        <xdr:cNvCxnSpPr>
          <a:stCxn id="15" idx="6"/>
          <a:endCxn id="18" idx="2"/>
        </xdr:cNvCxnSpPr>
      </xdr:nvCxnSpPr>
      <xdr:spPr>
        <a:xfrm>
          <a:off x="7400926" y="6843713"/>
          <a:ext cx="876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269409</xdr:colOff>
      <xdr:row>31</xdr:row>
      <xdr:rowOff>61913</xdr:rowOff>
    </xdr:from>
    <xdr:to>
      <xdr:col>10</xdr:col>
      <xdr:colOff>561976</xdr:colOff>
      <xdr:row>34</xdr:row>
      <xdr:rowOff>69308</xdr:rowOff>
    </xdr:to>
    <xdr:cxnSp macro="">
      <xdr:nvCxnSpPr>
        <xdr:cNvPr id="43" name="Connettore 2 42"/>
        <xdr:cNvCxnSpPr>
          <a:stCxn id="18" idx="7"/>
          <a:endCxn id="21" idx="2"/>
        </xdr:cNvCxnSpPr>
      </xdr:nvCxnSpPr>
      <xdr:spPr>
        <a:xfrm flipV="1">
          <a:off x="8927634" y="6005513"/>
          <a:ext cx="1006942" cy="5788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269409</xdr:colOff>
      <xdr:row>37</xdr:row>
      <xdr:rowOff>16417</xdr:rowOff>
    </xdr:from>
    <xdr:to>
      <xdr:col>10</xdr:col>
      <xdr:colOff>581026</xdr:colOff>
      <xdr:row>40</xdr:row>
      <xdr:rowOff>61913</xdr:rowOff>
    </xdr:to>
    <xdr:cxnSp macro="">
      <xdr:nvCxnSpPr>
        <xdr:cNvPr id="45" name="Connettore 2 44"/>
        <xdr:cNvCxnSpPr>
          <a:stCxn id="18" idx="5"/>
          <a:endCxn id="22" idx="2"/>
        </xdr:cNvCxnSpPr>
      </xdr:nvCxnSpPr>
      <xdr:spPr>
        <a:xfrm>
          <a:off x="8927634" y="7103017"/>
          <a:ext cx="1025992" cy="61699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733426</xdr:colOff>
      <xdr:row>31</xdr:row>
      <xdr:rowOff>61913</xdr:rowOff>
    </xdr:from>
    <xdr:to>
      <xdr:col>12</xdr:col>
      <xdr:colOff>706088</xdr:colOff>
      <xdr:row>34</xdr:row>
      <xdr:rowOff>107408</xdr:rowOff>
    </xdr:to>
    <xdr:cxnSp macro="">
      <xdr:nvCxnSpPr>
        <xdr:cNvPr id="47" name="Connettore 2 46"/>
        <xdr:cNvCxnSpPr>
          <a:stCxn id="21" idx="6"/>
          <a:endCxn id="19" idx="1"/>
        </xdr:cNvCxnSpPr>
      </xdr:nvCxnSpPr>
      <xdr:spPr>
        <a:xfrm>
          <a:off x="10715626" y="6005513"/>
          <a:ext cx="763237" cy="6169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752476</xdr:colOff>
      <xdr:row>37</xdr:row>
      <xdr:rowOff>54517</xdr:rowOff>
    </xdr:from>
    <xdr:to>
      <xdr:col>12</xdr:col>
      <xdr:colOff>706088</xdr:colOff>
      <xdr:row>40</xdr:row>
      <xdr:rowOff>61913</xdr:rowOff>
    </xdr:to>
    <xdr:cxnSp macro="">
      <xdr:nvCxnSpPr>
        <xdr:cNvPr id="50" name="Connettore 2 49"/>
        <xdr:cNvCxnSpPr>
          <a:stCxn id="22" idx="6"/>
          <a:endCxn id="19" idx="3"/>
        </xdr:cNvCxnSpPr>
      </xdr:nvCxnSpPr>
      <xdr:spPr>
        <a:xfrm flipV="1">
          <a:off x="10734676" y="7141117"/>
          <a:ext cx="744187" cy="57889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495300</xdr:colOff>
      <xdr:row>33</xdr:row>
      <xdr:rowOff>28575</xdr:rowOff>
    </xdr:from>
    <xdr:ext cx="571247" cy="374141"/>
    <xdr:sp macro="" textlink="">
      <xdr:nvSpPr>
        <xdr:cNvPr id="2" name="CasellaDiTesto 1"/>
        <xdr:cNvSpPr txBox="1"/>
      </xdr:nvSpPr>
      <xdr:spPr>
        <a:xfrm>
          <a:off x="1323975" y="6353175"/>
          <a:ext cx="57124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/>
            <a:t>0 gg</a:t>
          </a:r>
        </a:p>
      </xdr:txBody>
    </xdr:sp>
    <xdr:clientData/>
  </xdr:oneCellAnchor>
  <xdr:oneCellAnchor>
    <xdr:from>
      <xdr:col>3</xdr:col>
      <xdr:colOff>485775</xdr:colOff>
      <xdr:row>27</xdr:row>
      <xdr:rowOff>47625</xdr:rowOff>
    </xdr:from>
    <xdr:ext cx="571247" cy="374141"/>
    <xdr:sp macro="" textlink="">
      <xdr:nvSpPr>
        <xdr:cNvPr id="28" name="CasellaDiTesto 27"/>
        <xdr:cNvSpPr txBox="1"/>
      </xdr:nvSpPr>
      <xdr:spPr>
        <a:xfrm>
          <a:off x="2638425" y="5229225"/>
          <a:ext cx="57124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/>
            <a:t>6 gg</a:t>
          </a:r>
        </a:p>
      </xdr:txBody>
    </xdr:sp>
    <xdr:clientData/>
  </xdr:oneCellAnchor>
  <xdr:oneCellAnchor>
    <xdr:from>
      <xdr:col>13</xdr:col>
      <xdr:colOff>133350</xdr:colOff>
      <xdr:row>32</xdr:row>
      <xdr:rowOff>57150</xdr:rowOff>
    </xdr:from>
    <xdr:ext cx="571247" cy="374141"/>
    <xdr:sp macro="" textlink="">
      <xdr:nvSpPr>
        <xdr:cNvPr id="30" name="CasellaDiTesto 29"/>
        <xdr:cNvSpPr txBox="1"/>
      </xdr:nvSpPr>
      <xdr:spPr>
        <a:xfrm>
          <a:off x="11744325" y="6191250"/>
          <a:ext cx="57124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/>
            <a:t>1 gg</a:t>
          </a:r>
        </a:p>
      </xdr:txBody>
    </xdr:sp>
    <xdr:clientData/>
  </xdr:oneCellAnchor>
  <xdr:oneCellAnchor>
    <xdr:from>
      <xdr:col>11</xdr:col>
      <xdr:colOff>46264</xdr:colOff>
      <xdr:row>27</xdr:row>
      <xdr:rowOff>78921</xdr:rowOff>
    </xdr:from>
    <xdr:ext cx="571247" cy="374141"/>
    <xdr:sp macro="" textlink="">
      <xdr:nvSpPr>
        <xdr:cNvPr id="32" name="CasellaDiTesto 31"/>
        <xdr:cNvSpPr txBox="1"/>
      </xdr:nvSpPr>
      <xdr:spPr>
        <a:xfrm>
          <a:off x="10028464" y="5260521"/>
          <a:ext cx="57124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/>
            <a:t>3 gg</a:t>
          </a:r>
        </a:p>
      </xdr:txBody>
    </xdr:sp>
    <xdr:clientData/>
  </xdr:oneCellAnchor>
  <xdr:oneCellAnchor>
    <xdr:from>
      <xdr:col>8</xdr:col>
      <xdr:colOff>379639</xdr:colOff>
      <xdr:row>37</xdr:row>
      <xdr:rowOff>97971</xdr:rowOff>
    </xdr:from>
    <xdr:ext cx="571247" cy="374141"/>
    <xdr:sp macro="" textlink="">
      <xdr:nvSpPr>
        <xdr:cNvPr id="34" name="CasellaDiTesto 33"/>
        <xdr:cNvSpPr txBox="1"/>
      </xdr:nvSpPr>
      <xdr:spPr>
        <a:xfrm>
          <a:off x="8323489" y="7184571"/>
          <a:ext cx="57124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/>
            <a:t>6 gg</a:t>
          </a:r>
        </a:p>
      </xdr:txBody>
    </xdr:sp>
    <xdr:clientData/>
  </xdr:oneCellAnchor>
  <xdr:oneCellAnchor>
    <xdr:from>
      <xdr:col>4</xdr:col>
      <xdr:colOff>713014</xdr:colOff>
      <xdr:row>25</xdr:row>
      <xdr:rowOff>21771</xdr:rowOff>
    </xdr:from>
    <xdr:ext cx="571247" cy="374141"/>
    <xdr:sp macro="" textlink="">
      <xdr:nvSpPr>
        <xdr:cNvPr id="36" name="CasellaDiTesto 35"/>
        <xdr:cNvSpPr txBox="1"/>
      </xdr:nvSpPr>
      <xdr:spPr>
        <a:xfrm>
          <a:off x="5789839" y="4822371"/>
          <a:ext cx="57124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/>
            <a:t>4 gg</a:t>
          </a:r>
        </a:p>
      </xdr:txBody>
    </xdr:sp>
    <xdr:clientData/>
  </xdr:oneCellAnchor>
  <xdr:oneCellAnchor>
    <xdr:from>
      <xdr:col>3</xdr:col>
      <xdr:colOff>1970314</xdr:colOff>
      <xdr:row>25</xdr:row>
      <xdr:rowOff>21771</xdr:rowOff>
    </xdr:from>
    <xdr:ext cx="571247" cy="374141"/>
    <xdr:sp macro="" textlink="">
      <xdr:nvSpPr>
        <xdr:cNvPr id="38" name="CasellaDiTesto 37"/>
        <xdr:cNvSpPr txBox="1"/>
      </xdr:nvSpPr>
      <xdr:spPr>
        <a:xfrm>
          <a:off x="4122964" y="4822371"/>
          <a:ext cx="57124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/>
            <a:t>3 gg</a:t>
          </a:r>
        </a:p>
      </xdr:txBody>
    </xdr:sp>
    <xdr:clientData/>
  </xdr:oneCellAnchor>
  <xdr:oneCellAnchor>
    <xdr:from>
      <xdr:col>11</xdr:col>
      <xdr:colOff>122464</xdr:colOff>
      <xdr:row>42</xdr:row>
      <xdr:rowOff>12246</xdr:rowOff>
    </xdr:from>
    <xdr:ext cx="571247" cy="374141"/>
    <xdr:sp macro="" textlink="">
      <xdr:nvSpPr>
        <xdr:cNvPr id="40" name="CasellaDiTesto 39"/>
        <xdr:cNvSpPr txBox="1"/>
      </xdr:nvSpPr>
      <xdr:spPr>
        <a:xfrm>
          <a:off x="10104664" y="8051346"/>
          <a:ext cx="57124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/>
            <a:t>1 gg</a:t>
          </a:r>
        </a:p>
      </xdr:txBody>
    </xdr:sp>
    <xdr:clientData/>
  </xdr:oneCellAnchor>
  <xdr:oneCellAnchor>
    <xdr:from>
      <xdr:col>6</xdr:col>
      <xdr:colOff>370114</xdr:colOff>
      <xdr:row>37</xdr:row>
      <xdr:rowOff>50346</xdr:rowOff>
    </xdr:from>
    <xdr:ext cx="571247" cy="374141"/>
    <xdr:sp macro="" textlink="">
      <xdr:nvSpPr>
        <xdr:cNvPr id="42" name="CasellaDiTesto 41"/>
        <xdr:cNvSpPr txBox="1"/>
      </xdr:nvSpPr>
      <xdr:spPr>
        <a:xfrm>
          <a:off x="6885214" y="7136946"/>
          <a:ext cx="57124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/>
            <a:t>1 gg</a:t>
          </a:r>
        </a:p>
      </xdr:txBody>
    </xdr:sp>
    <xdr:clientData/>
  </xdr:oneCellAnchor>
  <xdr:oneCellAnchor>
    <xdr:from>
      <xdr:col>4</xdr:col>
      <xdr:colOff>560614</xdr:colOff>
      <xdr:row>45</xdr:row>
      <xdr:rowOff>40821</xdr:rowOff>
    </xdr:from>
    <xdr:ext cx="571247" cy="374141"/>
    <xdr:sp macro="" textlink="">
      <xdr:nvSpPr>
        <xdr:cNvPr id="44" name="CasellaDiTesto 43"/>
        <xdr:cNvSpPr txBox="1"/>
      </xdr:nvSpPr>
      <xdr:spPr>
        <a:xfrm>
          <a:off x="5637439" y="8651421"/>
          <a:ext cx="57124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/>
            <a:t>1 gg</a:t>
          </a:r>
        </a:p>
      </xdr:txBody>
    </xdr:sp>
    <xdr:clientData/>
  </xdr:oneCellAnchor>
  <xdr:oneCellAnchor>
    <xdr:from>
      <xdr:col>3</xdr:col>
      <xdr:colOff>1932214</xdr:colOff>
      <xdr:row>45</xdr:row>
      <xdr:rowOff>69396</xdr:rowOff>
    </xdr:from>
    <xdr:ext cx="571247" cy="374141"/>
    <xdr:sp macro="" textlink="">
      <xdr:nvSpPr>
        <xdr:cNvPr id="46" name="CasellaDiTesto 45"/>
        <xdr:cNvSpPr txBox="1"/>
      </xdr:nvSpPr>
      <xdr:spPr>
        <a:xfrm>
          <a:off x="4084864" y="8679996"/>
          <a:ext cx="57124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/>
            <a:t>2 gg</a:t>
          </a:r>
        </a:p>
      </xdr:txBody>
    </xdr:sp>
    <xdr:clientData/>
  </xdr:oneCellAnchor>
  <xdr:oneCellAnchor>
    <xdr:from>
      <xdr:col>3</xdr:col>
      <xdr:colOff>284389</xdr:colOff>
      <xdr:row>43</xdr:row>
      <xdr:rowOff>12246</xdr:rowOff>
    </xdr:from>
    <xdr:ext cx="571247" cy="374141"/>
    <xdr:sp macro="" textlink="">
      <xdr:nvSpPr>
        <xdr:cNvPr id="48" name="CasellaDiTesto 47"/>
        <xdr:cNvSpPr txBox="1"/>
      </xdr:nvSpPr>
      <xdr:spPr>
        <a:xfrm>
          <a:off x="2437039" y="8241846"/>
          <a:ext cx="57124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/>
            <a:t>2 gg</a:t>
          </a:r>
        </a:p>
      </xdr:txBody>
    </xdr:sp>
    <xdr:clientData/>
  </xdr:oneCellAnchor>
  <xdr:twoCellAnchor>
    <xdr:from>
      <xdr:col>2</xdr:col>
      <xdr:colOff>345368</xdr:colOff>
      <xdr:row>38</xdr:row>
      <xdr:rowOff>54517</xdr:rowOff>
    </xdr:from>
    <xdr:to>
      <xdr:col>3</xdr:col>
      <xdr:colOff>420338</xdr:colOff>
      <xdr:row>40</xdr:row>
      <xdr:rowOff>31208</xdr:rowOff>
    </xdr:to>
    <xdr:cxnSp macro="">
      <xdr:nvCxnSpPr>
        <xdr:cNvPr id="54" name="Connettore 2 53"/>
        <xdr:cNvCxnSpPr>
          <a:stCxn id="13" idx="5"/>
          <a:endCxn id="14" idx="1"/>
        </xdr:cNvCxnSpPr>
      </xdr:nvCxnSpPr>
      <xdr:spPr>
        <a:xfrm>
          <a:off x="1888418" y="7331617"/>
          <a:ext cx="684570" cy="35769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1103662</xdr:colOff>
      <xdr:row>28</xdr:row>
      <xdr:rowOff>176213</xdr:rowOff>
    </xdr:from>
    <xdr:to>
      <xdr:col>3</xdr:col>
      <xdr:colOff>1895475</xdr:colOff>
      <xdr:row>29</xdr:row>
      <xdr:rowOff>155033</xdr:rowOff>
    </xdr:to>
    <xdr:cxnSp macro="">
      <xdr:nvCxnSpPr>
        <xdr:cNvPr id="57" name="Connettore 2 56"/>
        <xdr:cNvCxnSpPr>
          <a:stCxn id="4" idx="7"/>
          <a:endCxn id="16" idx="2"/>
        </xdr:cNvCxnSpPr>
      </xdr:nvCxnSpPr>
      <xdr:spPr>
        <a:xfrm flipV="1">
          <a:off x="3256312" y="5548313"/>
          <a:ext cx="791813" cy="1693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2619375</xdr:colOff>
      <xdr:row>28</xdr:row>
      <xdr:rowOff>166688</xdr:rowOff>
    </xdr:from>
    <xdr:to>
      <xdr:col>4</xdr:col>
      <xdr:colOff>581025</xdr:colOff>
      <xdr:row>28</xdr:row>
      <xdr:rowOff>176213</xdr:rowOff>
    </xdr:to>
    <xdr:cxnSp macro="">
      <xdr:nvCxnSpPr>
        <xdr:cNvPr id="58" name="Connettore 2 57"/>
        <xdr:cNvCxnSpPr>
          <a:stCxn id="16" idx="6"/>
          <a:endCxn id="23" idx="2"/>
        </xdr:cNvCxnSpPr>
      </xdr:nvCxnSpPr>
      <xdr:spPr>
        <a:xfrm flipV="1">
          <a:off x="4772025" y="5538788"/>
          <a:ext cx="885825" cy="95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370237</xdr:colOff>
      <xdr:row>30</xdr:row>
      <xdr:rowOff>44992</xdr:rowOff>
    </xdr:from>
    <xdr:to>
      <xdr:col>6</xdr:col>
      <xdr:colOff>251679</xdr:colOff>
      <xdr:row>34</xdr:row>
      <xdr:rowOff>69308</xdr:rowOff>
    </xdr:to>
    <xdr:cxnSp macro="">
      <xdr:nvCxnSpPr>
        <xdr:cNvPr id="59" name="Connettore 2 58"/>
        <xdr:cNvCxnSpPr>
          <a:stCxn id="23" idx="5"/>
          <a:endCxn id="15" idx="1"/>
        </xdr:cNvCxnSpPr>
      </xdr:nvCxnSpPr>
      <xdr:spPr>
        <a:xfrm>
          <a:off x="6275737" y="5798092"/>
          <a:ext cx="491042" cy="78631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284512</xdr:colOff>
      <xdr:row>37</xdr:row>
      <xdr:rowOff>16417</xdr:rowOff>
    </xdr:from>
    <xdr:to>
      <xdr:col>6</xdr:col>
      <xdr:colOff>251679</xdr:colOff>
      <xdr:row>42</xdr:row>
      <xdr:rowOff>12158</xdr:rowOff>
    </xdr:to>
    <xdr:cxnSp macro="">
      <xdr:nvCxnSpPr>
        <xdr:cNvPr id="60" name="Connettore 2 59"/>
        <xdr:cNvCxnSpPr>
          <a:stCxn id="20" idx="7"/>
          <a:endCxn id="15" idx="3"/>
        </xdr:cNvCxnSpPr>
      </xdr:nvCxnSpPr>
      <xdr:spPr>
        <a:xfrm flipV="1">
          <a:off x="6190012" y="7103017"/>
          <a:ext cx="576767" cy="94824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2562225</xdr:colOff>
      <xdr:row>43</xdr:row>
      <xdr:rowOff>80963</xdr:rowOff>
    </xdr:from>
    <xdr:to>
      <xdr:col>4</xdr:col>
      <xdr:colOff>495300</xdr:colOff>
      <xdr:row>43</xdr:row>
      <xdr:rowOff>80963</xdr:rowOff>
    </xdr:to>
    <xdr:cxnSp macro="">
      <xdr:nvCxnSpPr>
        <xdr:cNvPr id="61" name="Connettore 2 60"/>
        <xdr:cNvCxnSpPr>
          <a:stCxn id="17" idx="6"/>
          <a:endCxn id="20" idx="2"/>
        </xdr:cNvCxnSpPr>
      </xdr:nvCxnSpPr>
      <xdr:spPr>
        <a:xfrm>
          <a:off x="4714875" y="8310563"/>
          <a:ext cx="85725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1038225</xdr:colOff>
      <xdr:row>41</xdr:row>
      <xdr:rowOff>100013</xdr:rowOff>
    </xdr:from>
    <xdr:to>
      <xdr:col>3</xdr:col>
      <xdr:colOff>1838325</xdr:colOff>
      <xdr:row>43</xdr:row>
      <xdr:rowOff>80963</xdr:rowOff>
    </xdr:to>
    <xdr:cxnSp macro="">
      <xdr:nvCxnSpPr>
        <xdr:cNvPr id="62" name="Connettore 2 61"/>
        <xdr:cNvCxnSpPr>
          <a:stCxn id="14" idx="6"/>
          <a:endCxn id="17" idx="2"/>
        </xdr:cNvCxnSpPr>
      </xdr:nvCxnSpPr>
      <xdr:spPr>
        <a:xfrm>
          <a:off x="3190875" y="7948613"/>
          <a:ext cx="800100" cy="3619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752476</xdr:colOff>
      <xdr:row>37</xdr:row>
      <xdr:rowOff>54517</xdr:rowOff>
    </xdr:from>
    <xdr:to>
      <xdr:col>12</xdr:col>
      <xdr:colOff>706088</xdr:colOff>
      <xdr:row>40</xdr:row>
      <xdr:rowOff>61913</xdr:rowOff>
    </xdr:to>
    <xdr:cxnSp macro="">
      <xdr:nvCxnSpPr>
        <xdr:cNvPr id="63" name="Connettore 2 62"/>
        <xdr:cNvCxnSpPr>
          <a:stCxn id="22" idx="6"/>
          <a:endCxn id="19" idx="3"/>
        </xdr:cNvCxnSpPr>
      </xdr:nvCxnSpPr>
      <xdr:spPr>
        <a:xfrm flipV="1">
          <a:off x="10734676" y="7141117"/>
          <a:ext cx="744187" cy="57889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733426</xdr:colOff>
      <xdr:row>31</xdr:row>
      <xdr:rowOff>61913</xdr:rowOff>
    </xdr:from>
    <xdr:to>
      <xdr:col>12</xdr:col>
      <xdr:colOff>706088</xdr:colOff>
      <xdr:row>34</xdr:row>
      <xdr:rowOff>107408</xdr:rowOff>
    </xdr:to>
    <xdr:cxnSp macro="">
      <xdr:nvCxnSpPr>
        <xdr:cNvPr id="64" name="Connettore 2 63"/>
        <xdr:cNvCxnSpPr>
          <a:stCxn id="21" idx="6"/>
          <a:endCxn id="19" idx="1"/>
        </xdr:cNvCxnSpPr>
      </xdr:nvCxnSpPr>
      <xdr:spPr>
        <a:xfrm>
          <a:off x="10715626" y="6005513"/>
          <a:ext cx="763237" cy="61699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269409</xdr:colOff>
      <xdr:row>37</xdr:row>
      <xdr:rowOff>16417</xdr:rowOff>
    </xdr:from>
    <xdr:to>
      <xdr:col>10</xdr:col>
      <xdr:colOff>581026</xdr:colOff>
      <xdr:row>40</xdr:row>
      <xdr:rowOff>61913</xdr:rowOff>
    </xdr:to>
    <xdr:cxnSp macro="">
      <xdr:nvCxnSpPr>
        <xdr:cNvPr id="65" name="Connettore 2 64"/>
        <xdr:cNvCxnSpPr>
          <a:stCxn id="18" idx="5"/>
          <a:endCxn id="22" idx="2"/>
        </xdr:cNvCxnSpPr>
      </xdr:nvCxnSpPr>
      <xdr:spPr>
        <a:xfrm>
          <a:off x="8927634" y="7103017"/>
          <a:ext cx="1025992" cy="61699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269409</xdr:colOff>
      <xdr:row>31</xdr:row>
      <xdr:rowOff>61913</xdr:rowOff>
    </xdr:from>
    <xdr:to>
      <xdr:col>10</xdr:col>
      <xdr:colOff>561976</xdr:colOff>
      <xdr:row>34</xdr:row>
      <xdr:rowOff>69308</xdr:rowOff>
    </xdr:to>
    <xdr:cxnSp macro="">
      <xdr:nvCxnSpPr>
        <xdr:cNvPr id="66" name="Connettore 2 65"/>
        <xdr:cNvCxnSpPr>
          <a:stCxn id="18" idx="7"/>
          <a:endCxn id="21" idx="2"/>
        </xdr:cNvCxnSpPr>
      </xdr:nvCxnSpPr>
      <xdr:spPr>
        <a:xfrm flipV="1">
          <a:off x="8927634" y="6005513"/>
          <a:ext cx="1006942" cy="57889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171451</xdr:colOff>
      <xdr:row>35</xdr:row>
      <xdr:rowOff>138113</xdr:rowOff>
    </xdr:from>
    <xdr:to>
      <xdr:col>8</xdr:col>
      <xdr:colOff>333376</xdr:colOff>
      <xdr:row>35</xdr:row>
      <xdr:rowOff>138113</xdr:rowOff>
    </xdr:to>
    <xdr:cxnSp macro="">
      <xdr:nvCxnSpPr>
        <xdr:cNvPr id="67" name="Connettore 2 66"/>
        <xdr:cNvCxnSpPr>
          <a:stCxn id="15" idx="6"/>
          <a:endCxn id="18" idx="2"/>
        </xdr:cNvCxnSpPr>
      </xdr:nvCxnSpPr>
      <xdr:spPr>
        <a:xfrm>
          <a:off x="7400926" y="6843713"/>
          <a:ext cx="87630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31"/>
  <sheetViews>
    <sheetView tabSelected="1" zoomScaleNormal="100" workbookViewId="0">
      <selection activeCell="P36" sqref="P36"/>
    </sheetView>
  </sheetViews>
  <sheetFormatPr defaultRowHeight="15" x14ac:dyDescent="0.25"/>
  <cols>
    <col min="1" max="1" width="12.42578125" bestFit="1" customWidth="1"/>
    <col min="2" max="2" width="10.7109375" bestFit="1" customWidth="1"/>
    <col min="4" max="4" width="43.85546875" bestFit="1" customWidth="1"/>
    <col min="5" max="5" width="12.42578125" bestFit="1" customWidth="1"/>
    <col min="7" max="10" width="10.7109375" bestFit="1" customWidth="1"/>
    <col min="12" max="12" width="11.85546875" bestFit="1" customWidth="1"/>
    <col min="13" max="13" width="12.5703125" bestFit="1" customWidth="1"/>
    <col min="16" max="39" width="9.140625" customWidth="1"/>
  </cols>
  <sheetData>
    <row r="2" spans="1:39" x14ac:dyDescent="0.25">
      <c r="A2" t="s">
        <v>27</v>
      </c>
      <c r="B2" s="8">
        <v>45421</v>
      </c>
      <c r="D2" t="s">
        <v>0</v>
      </c>
    </row>
    <row r="3" spans="1:39" x14ac:dyDescent="0.25">
      <c r="A3" t="s">
        <v>35</v>
      </c>
      <c r="B3" s="13">
        <f>H16-G6</f>
        <v>23</v>
      </c>
      <c r="C3" t="s">
        <v>34</v>
      </c>
      <c r="G3" s="11" t="s">
        <v>30</v>
      </c>
      <c r="H3" s="11"/>
      <c r="I3" s="11" t="s">
        <v>31</v>
      </c>
      <c r="J3" s="12"/>
      <c r="P3" s="18" t="s">
        <v>30</v>
      </c>
      <c r="Q3" s="19"/>
    </row>
    <row r="4" spans="1:39" x14ac:dyDescent="0.25">
      <c r="C4" s="2" t="s">
        <v>1</v>
      </c>
      <c r="D4" s="2" t="s">
        <v>2</v>
      </c>
      <c r="E4" s="2" t="s">
        <v>3</v>
      </c>
      <c r="F4" s="1" t="s">
        <v>4</v>
      </c>
      <c r="G4" s="1" t="s">
        <v>25</v>
      </c>
      <c r="H4" s="1" t="s">
        <v>26</v>
      </c>
      <c r="I4" s="1" t="s">
        <v>25</v>
      </c>
      <c r="J4" s="1" t="s">
        <v>26</v>
      </c>
      <c r="L4" s="1" t="s">
        <v>32</v>
      </c>
      <c r="M4" s="1" t="s">
        <v>33</v>
      </c>
      <c r="N4" s="1" t="s">
        <v>4</v>
      </c>
      <c r="P4" s="20">
        <v>45421</v>
      </c>
      <c r="Q4" s="20">
        <v>45422</v>
      </c>
      <c r="R4" s="20">
        <v>45423</v>
      </c>
      <c r="S4" s="20">
        <v>45424</v>
      </c>
      <c r="T4" s="20">
        <v>45425</v>
      </c>
      <c r="U4" s="20">
        <v>45426</v>
      </c>
      <c r="V4" s="20">
        <v>45427</v>
      </c>
      <c r="W4" s="20">
        <v>45428</v>
      </c>
      <c r="X4" s="20">
        <v>45429</v>
      </c>
      <c r="Y4" s="20">
        <v>45430</v>
      </c>
      <c r="Z4" s="20">
        <v>45431</v>
      </c>
      <c r="AA4" s="20">
        <v>45432</v>
      </c>
      <c r="AB4" s="20">
        <v>45433</v>
      </c>
      <c r="AC4" s="20">
        <v>45434</v>
      </c>
      <c r="AD4" s="20">
        <v>45435</v>
      </c>
      <c r="AE4" s="20">
        <v>45436</v>
      </c>
      <c r="AF4" s="20">
        <v>45437</v>
      </c>
      <c r="AG4" s="20">
        <v>45438</v>
      </c>
      <c r="AH4" s="20">
        <v>45439</v>
      </c>
      <c r="AI4" s="20">
        <v>45440</v>
      </c>
      <c r="AJ4" s="20">
        <v>45441</v>
      </c>
      <c r="AK4" s="20">
        <v>45442</v>
      </c>
      <c r="AL4" s="20">
        <v>45443</v>
      </c>
      <c r="AM4" s="20">
        <v>45444</v>
      </c>
    </row>
    <row r="5" spans="1:39" x14ac:dyDescent="0.25">
      <c r="C5" s="14" t="s">
        <v>28</v>
      </c>
      <c r="D5" s="15" t="s">
        <v>29</v>
      </c>
      <c r="E5" s="14" t="s">
        <v>20</v>
      </c>
      <c r="F5" s="14">
        <v>0</v>
      </c>
      <c r="G5" s="16">
        <f>B2</f>
        <v>45421</v>
      </c>
      <c r="H5" s="16">
        <f>B2</f>
        <v>45421</v>
      </c>
      <c r="I5" s="17">
        <f>I6</f>
        <v>45421</v>
      </c>
      <c r="J5" s="17">
        <f>I6</f>
        <v>45421</v>
      </c>
      <c r="L5" s="1">
        <v>0</v>
      </c>
      <c r="M5" s="1" t="s">
        <v>20</v>
      </c>
      <c r="N5" s="1">
        <v>0</v>
      </c>
      <c r="P5" s="22"/>
      <c r="Q5" s="22"/>
      <c r="R5" s="22"/>
      <c r="S5" s="22"/>
      <c r="T5" s="22"/>
      <c r="U5" s="22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</row>
    <row r="6" spans="1:39" x14ac:dyDescent="0.25">
      <c r="C6" s="5">
        <v>1</v>
      </c>
      <c r="D6" s="6" t="s">
        <v>5</v>
      </c>
      <c r="E6" s="7" t="s">
        <v>20</v>
      </c>
      <c r="F6" s="5">
        <v>6</v>
      </c>
      <c r="G6" s="9">
        <f>B2</f>
        <v>45421</v>
      </c>
      <c r="H6" s="9">
        <f t="shared" ref="H6:H16" si="0">G6+F6-1</f>
        <v>45426</v>
      </c>
      <c r="I6" s="9">
        <f t="shared" ref="I6:I16" si="1">J6-F6+1</f>
        <v>45421</v>
      </c>
      <c r="J6" s="9">
        <f>I8-1</f>
        <v>45426</v>
      </c>
      <c r="L6" s="1">
        <f>J6-H6</f>
        <v>0</v>
      </c>
      <c r="M6" s="1" t="str">
        <f>IF(L6=0,"CRITICA","NON CRITICA")</f>
        <v>CRITICA</v>
      </c>
      <c r="N6" s="1">
        <f>IF(M6="CRITICA",F6,0)</f>
        <v>6</v>
      </c>
      <c r="P6" s="26" t="str">
        <f>IF(AND(P$4&gt;=$G6,P$4&lt;=$H6),"X",0)</f>
        <v>X</v>
      </c>
      <c r="Q6" s="27" t="str">
        <f t="shared" ref="Q6:AM16" si="2">IF(AND(Q$4&gt;=$G6,Q$4&lt;=$H6),"X",0)</f>
        <v>X</v>
      </c>
      <c r="R6" s="24" t="str">
        <f t="shared" si="2"/>
        <v>X</v>
      </c>
      <c r="S6" s="24" t="str">
        <f t="shared" si="2"/>
        <v>X</v>
      </c>
      <c r="T6" s="24" t="str">
        <f t="shared" si="2"/>
        <v>X</v>
      </c>
      <c r="U6" s="21" t="str">
        <f t="shared" si="2"/>
        <v>X</v>
      </c>
      <c r="V6" s="21">
        <f t="shared" si="2"/>
        <v>0</v>
      </c>
      <c r="W6" s="10">
        <f t="shared" si="2"/>
        <v>0</v>
      </c>
      <c r="X6" s="10">
        <f t="shared" si="2"/>
        <v>0</v>
      </c>
      <c r="Y6" s="10">
        <f t="shared" si="2"/>
        <v>0</v>
      </c>
      <c r="Z6" s="10">
        <f t="shared" si="2"/>
        <v>0</v>
      </c>
      <c r="AA6" s="10">
        <f t="shared" si="2"/>
        <v>0</v>
      </c>
      <c r="AB6" s="10">
        <f t="shared" si="2"/>
        <v>0</v>
      </c>
      <c r="AC6" s="10">
        <f t="shared" si="2"/>
        <v>0</v>
      </c>
      <c r="AD6" s="10">
        <f t="shared" si="2"/>
        <v>0</v>
      </c>
      <c r="AE6" s="10">
        <f t="shared" si="2"/>
        <v>0</v>
      </c>
      <c r="AF6" s="10">
        <f t="shared" si="2"/>
        <v>0</v>
      </c>
      <c r="AG6" s="10">
        <f t="shared" si="2"/>
        <v>0</v>
      </c>
      <c r="AH6" s="10">
        <f t="shared" si="2"/>
        <v>0</v>
      </c>
      <c r="AI6" s="10">
        <f t="shared" si="2"/>
        <v>0</v>
      </c>
      <c r="AJ6" s="10">
        <f t="shared" si="2"/>
        <v>0</v>
      </c>
      <c r="AK6" s="10">
        <f t="shared" si="2"/>
        <v>0</v>
      </c>
      <c r="AL6" s="10">
        <f t="shared" si="2"/>
        <v>0</v>
      </c>
      <c r="AM6" s="10">
        <f t="shared" si="2"/>
        <v>0</v>
      </c>
    </row>
    <row r="7" spans="1:39" x14ac:dyDescent="0.25">
      <c r="C7" s="1">
        <v>2</v>
      </c>
      <c r="D7" s="2" t="s">
        <v>6</v>
      </c>
      <c r="E7" s="3" t="s">
        <v>20</v>
      </c>
      <c r="F7" s="1">
        <v>2</v>
      </c>
      <c r="G7" s="9">
        <f>B2</f>
        <v>45421</v>
      </c>
      <c r="H7" s="9">
        <f t="shared" si="0"/>
        <v>45422</v>
      </c>
      <c r="I7" s="9">
        <f t="shared" si="1"/>
        <v>45429</v>
      </c>
      <c r="J7" s="9">
        <f>I9-1</f>
        <v>45430</v>
      </c>
      <c r="L7" s="1">
        <f t="shared" ref="L7:L16" si="3">J7-H7</f>
        <v>8</v>
      </c>
      <c r="M7" s="1" t="str">
        <f t="shared" ref="M7:M16" si="4">IF(L7=0,"CRITICA","NON CRITICA")</f>
        <v>NON CRITICA</v>
      </c>
      <c r="N7" s="1">
        <f t="shared" ref="N7:N16" si="5">IF(M7="CRITICA",F7,0)</f>
        <v>0</v>
      </c>
      <c r="P7" s="23" t="str">
        <f t="shared" ref="P7:AE16" si="6">IF(AND(P$4&gt;=$G7,P$4&lt;=$H7),"X",0)</f>
        <v>X</v>
      </c>
      <c r="Q7" s="21" t="str">
        <f t="shared" si="6"/>
        <v>X</v>
      </c>
      <c r="R7" s="25">
        <f t="shared" si="6"/>
        <v>0</v>
      </c>
      <c r="S7" s="5">
        <f t="shared" si="6"/>
        <v>0</v>
      </c>
      <c r="T7" s="5">
        <f t="shared" si="6"/>
        <v>0</v>
      </c>
      <c r="U7" s="5">
        <f t="shared" si="6"/>
        <v>0</v>
      </c>
      <c r="V7" s="28">
        <f t="shared" si="6"/>
        <v>0</v>
      </c>
      <c r="W7" s="28">
        <f t="shared" si="6"/>
        <v>0</v>
      </c>
      <c r="X7" s="28">
        <f t="shared" si="6"/>
        <v>0</v>
      </c>
      <c r="Y7" s="10">
        <f t="shared" si="6"/>
        <v>0</v>
      </c>
      <c r="Z7" s="10">
        <f t="shared" si="6"/>
        <v>0</v>
      </c>
      <c r="AA7" s="10">
        <f t="shared" si="6"/>
        <v>0</v>
      </c>
      <c r="AB7" s="10">
        <f t="shared" si="6"/>
        <v>0</v>
      </c>
      <c r="AC7" s="10">
        <f t="shared" si="6"/>
        <v>0</v>
      </c>
      <c r="AD7" s="10">
        <f t="shared" si="6"/>
        <v>0</v>
      </c>
      <c r="AE7" s="10">
        <f t="shared" si="6"/>
        <v>0</v>
      </c>
      <c r="AF7" s="10">
        <f t="shared" si="2"/>
        <v>0</v>
      </c>
      <c r="AG7" s="10">
        <f t="shared" si="2"/>
        <v>0</v>
      </c>
      <c r="AH7" s="10">
        <f t="shared" si="2"/>
        <v>0</v>
      </c>
      <c r="AI7" s="10">
        <f t="shared" si="2"/>
        <v>0</v>
      </c>
      <c r="AJ7" s="10">
        <f t="shared" si="2"/>
        <v>0</v>
      </c>
      <c r="AK7" s="10">
        <f t="shared" si="2"/>
        <v>0</v>
      </c>
      <c r="AL7" s="10">
        <f t="shared" si="2"/>
        <v>0</v>
      </c>
      <c r="AM7" s="10">
        <f t="shared" si="2"/>
        <v>0</v>
      </c>
    </row>
    <row r="8" spans="1:39" x14ac:dyDescent="0.25">
      <c r="C8" s="1">
        <v>3</v>
      </c>
      <c r="D8" s="2" t="s">
        <v>7</v>
      </c>
      <c r="E8" s="3">
        <v>1</v>
      </c>
      <c r="F8" s="1">
        <v>3</v>
      </c>
      <c r="G8" s="9">
        <f>H6+1</f>
        <v>45427</v>
      </c>
      <c r="H8" s="9">
        <f t="shared" si="0"/>
        <v>45429</v>
      </c>
      <c r="I8" s="9">
        <f t="shared" si="1"/>
        <v>45427</v>
      </c>
      <c r="J8" s="9">
        <f>I10-1</f>
        <v>45429</v>
      </c>
      <c r="L8" s="1">
        <f t="shared" si="3"/>
        <v>0</v>
      </c>
      <c r="M8" s="1" t="str">
        <f t="shared" si="4"/>
        <v>CRITICA</v>
      </c>
      <c r="N8" s="1">
        <f t="shared" si="5"/>
        <v>3</v>
      </c>
      <c r="P8" s="5">
        <f t="shared" si="6"/>
        <v>0</v>
      </c>
      <c r="Q8" s="5">
        <f t="shared" si="2"/>
        <v>0</v>
      </c>
      <c r="R8" s="28">
        <f t="shared" si="2"/>
        <v>0</v>
      </c>
      <c r="S8" s="28">
        <f t="shared" si="2"/>
        <v>0</v>
      </c>
      <c r="T8" s="10">
        <f t="shared" si="2"/>
        <v>0</v>
      </c>
      <c r="U8" s="23">
        <f t="shared" si="2"/>
        <v>0</v>
      </c>
      <c r="V8" s="23" t="str">
        <f t="shared" si="2"/>
        <v>X</v>
      </c>
      <c r="W8" s="24" t="str">
        <f t="shared" si="2"/>
        <v>X</v>
      </c>
      <c r="X8" s="21" t="str">
        <f t="shared" si="2"/>
        <v>X</v>
      </c>
      <c r="Y8" s="21">
        <f t="shared" si="2"/>
        <v>0</v>
      </c>
      <c r="Z8" s="10">
        <f t="shared" si="2"/>
        <v>0</v>
      </c>
      <c r="AA8" s="10">
        <f t="shared" si="2"/>
        <v>0</v>
      </c>
      <c r="AB8" s="10">
        <f t="shared" si="2"/>
        <v>0</v>
      </c>
      <c r="AC8" s="10">
        <f t="shared" si="2"/>
        <v>0</v>
      </c>
      <c r="AD8" s="10">
        <f t="shared" si="2"/>
        <v>0</v>
      </c>
      <c r="AE8" s="10">
        <f t="shared" si="2"/>
        <v>0</v>
      </c>
      <c r="AF8" s="10">
        <f t="shared" si="2"/>
        <v>0</v>
      </c>
      <c r="AG8" s="10">
        <f t="shared" si="2"/>
        <v>0</v>
      </c>
      <c r="AH8" s="10">
        <f t="shared" si="2"/>
        <v>0</v>
      </c>
      <c r="AI8" s="10">
        <f t="shared" si="2"/>
        <v>0</v>
      </c>
      <c r="AJ8" s="10">
        <f t="shared" si="2"/>
        <v>0</v>
      </c>
      <c r="AK8" s="10">
        <f t="shared" si="2"/>
        <v>0</v>
      </c>
      <c r="AL8" s="10">
        <f t="shared" si="2"/>
        <v>0</v>
      </c>
      <c r="AM8" s="10">
        <f t="shared" si="2"/>
        <v>0</v>
      </c>
    </row>
    <row r="9" spans="1:39" x14ac:dyDescent="0.25">
      <c r="C9" s="1">
        <v>4</v>
      </c>
      <c r="D9" s="2" t="s">
        <v>8</v>
      </c>
      <c r="E9" s="3">
        <v>2</v>
      </c>
      <c r="F9" s="1">
        <v>2</v>
      </c>
      <c r="G9" s="9">
        <f>H7+1</f>
        <v>45423</v>
      </c>
      <c r="H9" s="9">
        <f t="shared" si="0"/>
        <v>45424</v>
      </c>
      <c r="I9" s="9">
        <f t="shared" si="1"/>
        <v>45431</v>
      </c>
      <c r="J9" s="9">
        <f>I11-1</f>
        <v>45432</v>
      </c>
      <c r="L9" s="1">
        <f t="shared" si="3"/>
        <v>8</v>
      </c>
      <c r="M9" s="1" t="str">
        <f t="shared" si="4"/>
        <v>NON CRITICA</v>
      </c>
      <c r="N9" s="1">
        <f t="shared" si="5"/>
        <v>0</v>
      </c>
      <c r="P9" s="10">
        <f t="shared" si="6"/>
        <v>0</v>
      </c>
      <c r="Q9" s="23">
        <f t="shared" si="2"/>
        <v>0</v>
      </c>
      <c r="R9" s="23" t="str">
        <f t="shared" si="2"/>
        <v>X</v>
      </c>
      <c r="S9" s="21" t="str">
        <f t="shared" si="2"/>
        <v>X</v>
      </c>
      <c r="T9" s="21">
        <f t="shared" si="2"/>
        <v>0</v>
      </c>
      <c r="U9" s="10">
        <f t="shared" si="2"/>
        <v>0</v>
      </c>
      <c r="V9" s="5">
        <f t="shared" si="2"/>
        <v>0</v>
      </c>
      <c r="W9" s="5">
        <f t="shared" si="2"/>
        <v>0</v>
      </c>
      <c r="X9" s="5">
        <f t="shared" si="2"/>
        <v>0</v>
      </c>
      <c r="Y9" s="28">
        <f t="shared" si="2"/>
        <v>0</v>
      </c>
      <c r="Z9" s="28">
        <f t="shared" si="2"/>
        <v>0</v>
      </c>
      <c r="AA9" s="28">
        <f t="shared" si="2"/>
        <v>0</v>
      </c>
      <c r="AB9" s="28">
        <f t="shared" si="2"/>
        <v>0</v>
      </c>
      <c r="AC9" s="10">
        <f t="shared" si="2"/>
        <v>0</v>
      </c>
      <c r="AD9" s="10">
        <f t="shared" si="2"/>
        <v>0</v>
      </c>
      <c r="AE9" s="10">
        <f t="shared" si="2"/>
        <v>0</v>
      </c>
      <c r="AF9" s="10">
        <f t="shared" si="2"/>
        <v>0</v>
      </c>
      <c r="AG9" s="10">
        <f t="shared" si="2"/>
        <v>0</v>
      </c>
      <c r="AH9" s="10">
        <f t="shared" si="2"/>
        <v>0</v>
      </c>
      <c r="AI9" s="10">
        <f t="shared" si="2"/>
        <v>0</v>
      </c>
      <c r="AJ9" s="10">
        <f t="shared" si="2"/>
        <v>0</v>
      </c>
      <c r="AK9" s="10">
        <f t="shared" si="2"/>
        <v>0</v>
      </c>
      <c r="AL9" s="10">
        <f t="shared" si="2"/>
        <v>0</v>
      </c>
      <c r="AM9" s="10">
        <f t="shared" si="2"/>
        <v>0</v>
      </c>
    </row>
    <row r="10" spans="1:39" x14ac:dyDescent="0.25">
      <c r="C10" s="1">
        <v>5</v>
      </c>
      <c r="D10" s="2" t="s">
        <v>9</v>
      </c>
      <c r="E10" s="3">
        <v>3</v>
      </c>
      <c r="F10" s="1">
        <v>4</v>
      </c>
      <c r="G10" s="9">
        <f>H8+1</f>
        <v>45430</v>
      </c>
      <c r="H10" s="9">
        <f t="shared" si="0"/>
        <v>45433</v>
      </c>
      <c r="I10" s="9">
        <f t="shared" si="1"/>
        <v>45430</v>
      </c>
      <c r="J10" s="9">
        <f>I12-1</f>
        <v>45433</v>
      </c>
      <c r="L10" s="1">
        <f t="shared" si="3"/>
        <v>0</v>
      </c>
      <c r="M10" s="1" t="str">
        <f t="shared" si="4"/>
        <v>CRITICA</v>
      </c>
      <c r="N10" s="1">
        <f t="shared" si="5"/>
        <v>4</v>
      </c>
      <c r="P10" s="10">
        <f t="shared" si="6"/>
        <v>0</v>
      </c>
      <c r="Q10" s="10">
        <f t="shared" si="2"/>
        <v>0</v>
      </c>
      <c r="R10" s="5">
        <f t="shared" si="2"/>
        <v>0</v>
      </c>
      <c r="S10" s="5">
        <f t="shared" si="2"/>
        <v>0</v>
      </c>
      <c r="T10" s="10">
        <f t="shared" si="2"/>
        <v>0</v>
      </c>
      <c r="U10" s="10">
        <f t="shared" si="2"/>
        <v>0</v>
      </c>
      <c r="V10" s="10">
        <f t="shared" si="2"/>
        <v>0</v>
      </c>
      <c r="W10" s="10">
        <f t="shared" si="2"/>
        <v>0</v>
      </c>
      <c r="X10" s="23">
        <f t="shared" si="2"/>
        <v>0</v>
      </c>
      <c r="Y10" s="23" t="str">
        <f t="shared" si="2"/>
        <v>X</v>
      </c>
      <c r="Z10" s="24" t="str">
        <f t="shared" si="2"/>
        <v>X</v>
      </c>
      <c r="AA10" s="24" t="str">
        <f t="shared" si="2"/>
        <v>X</v>
      </c>
      <c r="AB10" s="21" t="str">
        <f t="shared" si="2"/>
        <v>X</v>
      </c>
      <c r="AC10" s="21">
        <f t="shared" si="2"/>
        <v>0</v>
      </c>
      <c r="AD10" s="10">
        <f t="shared" si="2"/>
        <v>0</v>
      </c>
      <c r="AE10" s="10">
        <f t="shared" si="2"/>
        <v>0</v>
      </c>
      <c r="AF10" s="10">
        <f t="shared" si="2"/>
        <v>0</v>
      </c>
      <c r="AG10" s="10">
        <f t="shared" si="2"/>
        <v>0</v>
      </c>
      <c r="AH10" s="10">
        <f t="shared" si="2"/>
        <v>0</v>
      </c>
      <c r="AI10" s="10">
        <f t="shared" si="2"/>
        <v>0</v>
      </c>
      <c r="AJ10" s="10">
        <f t="shared" si="2"/>
        <v>0</v>
      </c>
      <c r="AK10" s="10">
        <f t="shared" si="2"/>
        <v>0</v>
      </c>
      <c r="AL10" s="10">
        <f t="shared" si="2"/>
        <v>0</v>
      </c>
      <c r="AM10" s="10">
        <f t="shared" si="2"/>
        <v>0</v>
      </c>
    </row>
    <row r="11" spans="1:39" x14ac:dyDescent="0.25">
      <c r="C11" s="1">
        <v>6</v>
      </c>
      <c r="D11" s="2" t="s">
        <v>10</v>
      </c>
      <c r="E11" s="3">
        <v>4</v>
      </c>
      <c r="F11" s="1">
        <v>1</v>
      </c>
      <c r="G11" s="9">
        <f>H9+1</f>
        <v>45425</v>
      </c>
      <c r="H11" s="9">
        <f t="shared" si="0"/>
        <v>45425</v>
      </c>
      <c r="I11" s="9">
        <f t="shared" si="1"/>
        <v>45433</v>
      </c>
      <c r="J11" s="9">
        <f>I12-1</f>
        <v>45433</v>
      </c>
      <c r="L11" s="1">
        <f t="shared" si="3"/>
        <v>8</v>
      </c>
      <c r="M11" s="1" t="str">
        <f t="shared" si="4"/>
        <v>NON CRITICA</v>
      </c>
      <c r="N11" s="1">
        <f t="shared" si="5"/>
        <v>0</v>
      </c>
      <c r="P11" s="10">
        <f t="shared" si="6"/>
        <v>0</v>
      </c>
      <c r="Q11" s="10">
        <f t="shared" si="2"/>
        <v>0</v>
      </c>
      <c r="R11" s="10">
        <f t="shared" si="2"/>
        <v>0</v>
      </c>
      <c r="S11" s="10">
        <f t="shared" si="2"/>
        <v>0</v>
      </c>
      <c r="T11" s="10" t="str">
        <f t="shared" si="2"/>
        <v>X</v>
      </c>
      <c r="U11" s="10">
        <f t="shared" si="2"/>
        <v>0</v>
      </c>
      <c r="V11" s="10">
        <f t="shared" si="2"/>
        <v>0</v>
      </c>
      <c r="W11" s="10">
        <f t="shared" si="2"/>
        <v>0</v>
      </c>
      <c r="X11" s="10">
        <f t="shared" si="2"/>
        <v>0</v>
      </c>
      <c r="Y11" s="5">
        <f t="shared" si="2"/>
        <v>0</v>
      </c>
      <c r="Z11" s="5">
        <f t="shared" si="2"/>
        <v>0</v>
      </c>
      <c r="AA11" s="5">
        <f t="shared" si="2"/>
        <v>0</v>
      </c>
      <c r="AB11" s="5">
        <f t="shared" si="2"/>
        <v>0</v>
      </c>
      <c r="AC11" s="10">
        <f t="shared" si="2"/>
        <v>0</v>
      </c>
      <c r="AD11" s="10">
        <f t="shared" si="2"/>
        <v>0</v>
      </c>
      <c r="AE11" s="10">
        <f t="shared" si="2"/>
        <v>0</v>
      </c>
      <c r="AF11" s="10">
        <f t="shared" si="2"/>
        <v>0</v>
      </c>
      <c r="AG11" s="10">
        <f t="shared" si="2"/>
        <v>0</v>
      </c>
      <c r="AH11" s="10">
        <f t="shared" si="2"/>
        <v>0</v>
      </c>
      <c r="AI11" s="10">
        <f t="shared" si="2"/>
        <v>0</v>
      </c>
      <c r="AJ11" s="10">
        <f t="shared" si="2"/>
        <v>0</v>
      </c>
      <c r="AK11" s="10">
        <f t="shared" si="2"/>
        <v>0</v>
      </c>
      <c r="AL11" s="10">
        <f t="shared" si="2"/>
        <v>0</v>
      </c>
      <c r="AM11" s="10">
        <f t="shared" si="2"/>
        <v>0</v>
      </c>
    </row>
    <row r="12" spans="1:39" x14ac:dyDescent="0.25">
      <c r="C12" s="1">
        <v>7</v>
      </c>
      <c r="D12" s="2" t="s">
        <v>11</v>
      </c>
      <c r="E12" s="3" t="s">
        <v>16</v>
      </c>
      <c r="F12" s="1">
        <v>1</v>
      </c>
      <c r="G12" s="9">
        <f>MAX(H10:H11)+1</f>
        <v>45434</v>
      </c>
      <c r="H12" s="9">
        <f t="shared" si="0"/>
        <v>45434</v>
      </c>
      <c r="I12" s="9">
        <f t="shared" si="1"/>
        <v>45434</v>
      </c>
      <c r="J12" s="9">
        <f>I13-1</f>
        <v>45434</v>
      </c>
      <c r="L12" s="1">
        <f t="shared" si="3"/>
        <v>0</v>
      </c>
      <c r="M12" s="1" t="str">
        <f t="shared" si="4"/>
        <v>CRITICA</v>
      </c>
      <c r="N12" s="1">
        <f t="shared" si="5"/>
        <v>1</v>
      </c>
      <c r="P12" s="10">
        <f t="shared" si="6"/>
        <v>0</v>
      </c>
      <c r="Q12" s="10">
        <f t="shared" si="2"/>
        <v>0</v>
      </c>
      <c r="R12" s="10">
        <f t="shared" si="2"/>
        <v>0</v>
      </c>
      <c r="S12" s="10">
        <f t="shared" si="2"/>
        <v>0</v>
      </c>
      <c r="T12" s="10">
        <f t="shared" si="2"/>
        <v>0</v>
      </c>
      <c r="U12" s="10">
        <f t="shared" si="2"/>
        <v>0</v>
      </c>
      <c r="V12" s="10">
        <f t="shared" si="2"/>
        <v>0</v>
      </c>
      <c r="W12" s="10">
        <f t="shared" si="2"/>
        <v>0</v>
      </c>
      <c r="X12" s="10">
        <f t="shared" si="2"/>
        <v>0</v>
      </c>
      <c r="Y12" s="10">
        <f t="shared" si="2"/>
        <v>0</v>
      </c>
      <c r="Z12" s="10">
        <f t="shared" si="2"/>
        <v>0</v>
      </c>
      <c r="AA12" s="10">
        <f t="shared" si="2"/>
        <v>0</v>
      </c>
      <c r="AB12" s="10">
        <f t="shared" si="2"/>
        <v>0</v>
      </c>
      <c r="AC12" s="10" t="str">
        <f t="shared" si="2"/>
        <v>X</v>
      </c>
      <c r="AD12" s="28">
        <f t="shared" si="2"/>
        <v>0</v>
      </c>
      <c r="AE12" s="28">
        <f t="shared" si="2"/>
        <v>0</v>
      </c>
      <c r="AF12" s="28">
        <f t="shared" si="2"/>
        <v>0</v>
      </c>
      <c r="AG12" s="28">
        <f t="shared" si="2"/>
        <v>0</v>
      </c>
      <c r="AH12" s="28">
        <f t="shared" si="2"/>
        <v>0</v>
      </c>
      <c r="AI12" s="28">
        <f t="shared" si="2"/>
        <v>0</v>
      </c>
      <c r="AJ12" s="10">
        <f t="shared" si="2"/>
        <v>0</v>
      </c>
      <c r="AK12" s="10">
        <f t="shared" si="2"/>
        <v>0</v>
      </c>
      <c r="AL12" s="10">
        <f t="shared" si="2"/>
        <v>0</v>
      </c>
      <c r="AM12" s="10">
        <f t="shared" si="2"/>
        <v>0</v>
      </c>
    </row>
    <row r="13" spans="1:39" x14ac:dyDescent="0.25">
      <c r="C13" s="1">
        <v>8</v>
      </c>
      <c r="D13" s="2" t="s">
        <v>12</v>
      </c>
      <c r="E13" s="3" t="s">
        <v>17</v>
      </c>
      <c r="F13" s="1">
        <v>6</v>
      </c>
      <c r="G13" s="9">
        <f>H12+1</f>
        <v>45435</v>
      </c>
      <c r="H13" s="9">
        <f t="shared" si="0"/>
        <v>45440</v>
      </c>
      <c r="I13" s="9">
        <f t="shared" si="1"/>
        <v>45435</v>
      </c>
      <c r="J13" s="9">
        <f>MIN(I14:I15)-1</f>
        <v>45440</v>
      </c>
      <c r="L13" s="1">
        <f t="shared" si="3"/>
        <v>0</v>
      </c>
      <c r="M13" s="1" t="str">
        <f t="shared" si="4"/>
        <v>CRITICA</v>
      </c>
      <c r="N13" s="1">
        <f t="shared" si="5"/>
        <v>6</v>
      </c>
      <c r="P13" s="10">
        <f t="shared" si="6"/>
        <v>0</v>
      </c>
      <c r="Q13" s="10">
        <f t="shared" si="2"/>
        <v>0</v>
      </c>
      <c r="R13" s="10">
        <f t="shared" si="2"/>
        <v>0</v>
      </c>
      <c r="S13" s="10">
        <f t="shared" si="2"/>
        <v>0</v>
      </c>
      <c r="T13" s="10">
        <f t="shared" si="2"/>
        <v>0</v>
      </c>
      <c r="U13" s="10">
        <f t="shared" si="2"/>
        <v>0</v>
      </c>
      <c r="V13" s="10">
        <f t="shared" si="2"/>
        <v>0</v>
      </c>
      <c r="W13" s="10">
        <f t="shared" si="2"/>
        <v>0</v>
      </c>
      <c r="X13" s="10">
        <f t="shared" si="2"/>
        <v>0</v>
      </c>
      <c r="Y13" s="10">
        <f t="shared" si="2"/>
        <v>0</v>
      </c>
      <c r="Z13" s="10">
        <f t="shared" si="2"/>
        <v>0</v>
      </c>
      <c r="AA13" s="10">
        <f t="shared" si="2"/>
        <v>0</v>
      </c>
      <c r="AB13" s="10">
        <f t="shared" si="2"/>
        <v>0</v>
      </c>
      <c r="AC13" s="23">
        <f t="shared" si="2"/>
        <v>0</v>
      </c>
      <c r="AD13" s="23" t="str">
        <f t="shared" si="2"/>
        <v>X</v>
      </c>
      <c r="AE13" s="24" t="str">
        <f t="shared" si="2"/>
        <v>X</v>
      </c>
      <c r="AF13" s="24" t="str">
        <f t="shared" si="2"/>
        <v>X</v>
      </c>
      <c r="AG13" s="24" t="str">
        <f t="shared" si="2"/>
        <v>X</v>
      </c>
      <c r="AH13" s="24" t="str">
        <f t="shared" si="2"/>
        <v>X</v>
      </c>
      <c r="AI13" s="21" t="str">
        <f t="shared" si="2"/>
        <v>X</v>
      </c>
      <c r="AJ13" s="30">
        <f t="shared" si="2"/>
        <v>0</v>
      </c>
      <c r="AK13" s="28">
        <f t="shared" si="2"/>
        <v>0</v>
      </c>
      <c r="AL13" s="28">
        <f t="shared" si="2"/>
        <v>0</v>
      </c>
      <c r="AM13" s="10">
        <f t="shared" si="2"/>
        <v>0</v>
      </c>
    </row>
    <row r="14" spans="1:39" x14ac:dyDescent="0.25">
      <c r="C14" s="1">
        <v>9</v>
      </c>
      <c r="D14" s="2" t="s">
        <v>13</v>
      </c>
      <c r="E14" s="3" t="s">
        <v>18</v>
      </c>
      <c r="F14" s="1">
        <v>3</v>
      </c>
      <c r="G14" s="9">
        <f>H13+1</f>
        <v>45441</v>
      </c>
      <c r="H14" s="9">
        <f t="shared" si="0"/>
        <v>45443</v>
      </c>
      <c r="I14" s="9">
        <f t="shared" si="1"/>
        <v>45441</v>
      </c>
      <c r="J14" s="9">
        <f>I16-1</f>
        <v>45443</v>
      </c>
      <c r="L14" s="1">
        <f t="shared" si="3"/>
        <v>0</v>
      </c>
      <c r="M14" s="1" t="str">
        <f t="shared" si="4"/>
        <v>CRITICA</v>
      </c>
      <c r="N14" s="1">
        <f t="shared" si="5"/>
        <v>3</v>
      </c>
      <c r="P14" s="10">
        <f t="shared" si="6"/>
        <v>0</v>
      </c>
      <c r="Q14" s="10">
        <f t="shared" si="2"/>
        <v>0</v>
      </c>
      <c r="R14" s="10">
        <f t="shared" si="2"/>
        <v>0</v>
      </c>
      <c r="S14" s="10">
        <f t="shared" si="2"/>
        <v>0</v>
      </c>
      <c r="T14" s="10">
        <f t="shared" si="2"/>
        <v>0</v>
      </c>
      <c r="U14" s="10">
        <f t="shared" si="2"/>
        <v>0</v>
      </c>
      <c r="V14" s="10">
        <f t="shared" si="2"/>
        <v>0</v>
      </c>
      <c r="W14" s="10">
        <f t="shared" si="2"/>
        <v>0</v>
      </c>
      <c r="X14" s="10">
        <f t="shared" si="2"/>
        <v>0</v>
      </c>
      <c r="Y14" s="10">
        <f t="shared" si="2"/>
        <v>0</v>
      </c>
      <c r="Z14" s="10">
        <f t="shared" si="2"/>
        <v>0</v>
      </c>
      <c r="AA14" s="10">
        <f t="shared" si="2"/>
        <v>0</v>
      </c>
      <c r="AB14" s="10">
        <f t="shared" si="2"/>
        <v>0</v>
      </c>
      <c r="AC14" s="10">
        <f t="shared" si="2"/>
        <v>0</v>
      </c>
      <c r="AD14" s="5">
        <f t="shared" si="2"/>
        <v>0</v>
      </c>
      <c r="AE14" s="5">
        <f t="shared" si="2"/>
        <v>0</v>
      </c>
      <c r="AF14" s="5">
        <f t="shared" si="2"/>
        <v>0</v>
      </c>
      <c r="AG14" s="5">
        <f t="shared" si="2"/>
        <v>0</v>
      </c>
      <c r="AH14" s="5">
        <f t="shared" si="2"/>
        <v>0</v>
      </c>
      <c r="AI14" s="29">
        <f t="shared" si="2"/>
        <v>0</v>
      </c>
      <c r="AJ14" s="23" t="str">
        <f t="shared" si="2"/>
        <v>X</v>
      </c>
      <c r="AK14" s="24" t="str">
        <f t="shared" si="2"/>
        <v>X</v>
      </c>
      <c r="AL14" s="21" t="str">
        <f t="shared" si="2"/>
        <v>X</v>
      </c>
      <c r="AM14" s="21">
        <f t="shared" si="2"/>
        <v>0</v>
      </c>
    </row>
    <row r="15" spans="1:39" x14ac:dyDescent="0.25">
      <c r="C15" s="1">
        <v>10</v>
      </c>
      <c r="D15" s="2" t="s">
        <v>14</v>
      </c>
      <c r="E15" s="3" t="s">
        <v>18</v>
      </c>
      <c r="F15" s="1">
        <v>1</v>
      </c>
      <c r="G15" s="9">
        <f>H13+1</f>
        <v>45441</v>
      </c>
      <c r="H15" s="9">
        <f t="shared" si="0"/>
        <v>45441</v>
      </c>
      <c r="I15" s="9">
        <f t="shared" si="1"/>
        <v>45443</v>
      </c>
      <c r="J15" s="9">
        <f>I16-1</f>
        <v>45443</v>
      </c>
      <c r="L15" s="1">
        <f t="shared" si="3"/>
        <v>2</v>
      </c>
      <c r="M15" s="1" t="str">
        <f t="shared" si="4"/>
        <v>NON CRITICA</v>
      </c>
      <c r="N15" s="1">
        <f t="shared" si="5"/>
        <v>0</v>
      </c>
      <c r="P15" s="10">
        <f t="shared" si="6"/>
        <v>0</v>
      </c>
      <c r="Q15" s="10">
        <f t="shared" si="2"/>
        <v>0</v>
      </c>
      <c r="R15" s="10">
        <f t="shared" si="2"/>
        <v>0</v>
      </c>
      <c r="S15" s="10">
        <f t="shared" si="2"/>
        <v>0</v>
      </c>
      <c r="T15" s="10">
        <f t="shared" si="2"/>
        <v>0</v>
      </c>
      <c r="U15" s="10">
        <f t="shared" si="2"/>
        <v>0</v>
      </c>
      <c r="V15" s="10">
        <f t="shared" si="2"/>
        <v>0</v>
      </c>
      <c r="W15" s="10">
        <f t="shared" si="2"/>
        <v>0</v>
      </c>
      <c r="X15" s="10">
        <f t="shared" si="2"/>
        <v>0</v>
      </c>
      <c r="Y15" s="10">
        <f t="shared" si="2"/>
        <v>0</v>
      </c>
      <c r="Z15" s="10">
        <f t="shared" si="2"/>
        <v>0</v>
      </c>
      <c r="AA15" s="10">
        <f t="shared" si="2"/>
        <v>0</v>
      </c>
      <c r="AB15" s="10">
        <f t="shared" si="2"/>
        <v>0</v>
      </c>
      <c r="AC15" s="10">
        <f t="shared" si="2"/>
        <v>0</v>
      </c>
      <c r="AD15" s="10">
        <f t="shared" si="2"/>
        <v>0</v>
      </c>
      <c r="AE15" s="10">
        <f t="shared" si="2"/>
        <v>0</v>
      </c>
      <c r="AF15" s="10">
        <f t="shared" si="2"/>
        <v>0</v>
      </c>
      <c r="AG15" s="10">
        <f t="shared" si="2"/>
        <v>0</v>
      </c>
      <c r="AH15" s="10">
        <f t="shared" si="2"/>
        <v>0</v>
      </c>
      <c r="AI15" s="10">
        <f t="shared" si="2"/>
        <v>0</v>
      </c>
      <c r="AJ15" s="5" t="str">
        <f t="shared" si="2"/>
        <v>X</v>
      </c>
      <c r="AK15" s="5">
        <f t="shared" si="2"/>
        <v>0</v>
      </c>
      <c r="AL15" s="5">
        <f t="shared" si="2"/>
        <v>0</v>
      </c>
      <c r="AM15" s="10">
        <f t="shared" si="2"/>
        <v>0</v>
      </c>
    </row>
    <row r="16" spans="1:39" x14ac:dyDescent="0.25">
      <c r="C16" s="1">
        <v>11</v>
      </c>
      <c r="D16" s="2" t="s">
        <v>15</v>
      </c>
      <c r="E16" s="3" t="s">
        <v>19</v>
      </c>
      <c r="F16" s="1">
        <v>1</v>
      </c>
      <c r="G16" s="9">
        <f>MAX(H14:H15)+1</f>
        <v>45444</v>
      </c>
      <c r="H16" s="9">
        <f t="shared" si="0"/>
        <v>45444</v>
      </c>
      <c r="I16" s="9">
        <f t="shared" si="1"/>
        <v>45444</v>
      </c>
      <c r="J16" s="9">
        <f>H16</f>
        <v>45444</v>
      </c>
      <c r="L16" s="1">
        <f t="shared" si="3"/>
        <v>0</v>
      </c>
      <c r="M16" s="1" t="str">
        <f t="shared" si="4"/>
        <v>CRITICA</v>
      </c>
      <c r="N16" s="1">
        <f t="shared" si="5"/>
        <v>1</v>
      </c>
      <c r="P16" s="10">
        <f t="shared" si="6"/>
        <v>0</v>
      </c>
      <c r="Q16" s="10">
        <f t="shared" si="2"/>
        <v>0</v>
      </c>
      <c r="R16" s="10">
        <f t="shared" si="2"/>
        <v>0</v>
      </c>
      <c r="S16" s="10">
        <f t="shared" si="2"/>
        <v>0</v>
      </c>
      <c r="T16" s="10">
        <f t="shared" si="2"/>
        <v>0</v>
      </c>
      <c r="U16" s="10">
        <f t="shared" si="2"/>
        <v>0</v>
      </c>
      <c r="V16" s="10">
        <f t="shared" si="2"/>
        <v>0</v>
      </c>
      <c r="W16" s="10">
        <f t="shared" si="2"/>
        <v>0</v>
      </c>
      <c r="X16" s="10">
        <f t="shared" si="2"/>
        <v>0</v>
      </c>
      <c r="Y16" s="10">
        <f t="shared" si="2"/>
        <v>0</v>
      </c>
      <c r="Z16" s="10">
        <f t="shared" si="2"/>
        <v>0</v>
      </c>
      <c r="AA16" s="10">
        <f t="shared" si="2"/>
        <v>0</v>
      </c>
      <c r="AB16" s="10">
        <f t="shared" si="2"/>
        <v>0</v>
      </c>
      <c r="AC16" s="10">
        <f t="shared" si="2"/>
        <v>0</v>
      </c>
      <c r="AD16" s="10">
        <f t="shared" si="2"/>
        <v>0</v>
      </c>
      <c r="AE16" s="10">
        <f t="shared" si="2"/>
        <v>0</v>
      </c>
      <c r="AF16" s="10">
        <f t="shared" si="2"/>
        <v>0</v>
      </c>
      <c r="AG16" s="10">
        <f t="shared" si="2"/>
        <v>0</v>
      </c>
      <c r="AH16" s="10">
        <f t="shared" si="2"/>
        <v>0</v>
      </c>
      <c r="AI16" s="10">
        <f t="shared" si="2"/>
        <v>0</v>
      </c>
      <c r="AJ16" s="10">
        <f t="shared" si="2"/>
        <v>0</v>
      </c>
      <c r="AK16" s="10">
        <f t="shared" si="2"/>
        <v>0</v>
      </c>
      <c r="AL16" s="10">
        <f t="shared" si="2"/>
        <v>0</v>
      </c>
      <c r="AM16" s="10" t="str">
        <f t="shared" si="2"/>
        <v>X</v>
      </c>
    </row>
    <row r="17" spans="2:39" x14ac:dyDescent="0.25">
      <c r="N17" s="31">
        <f>SUM(N5:N16)</f>
        <v>24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</row>
    <row r="18" spans="2:39" ht="15.75" x14ac:dyDescent="0.25">
      <c r="B18" s="4" t="s">
        <v>21</v>
      </c>
      <c r="P18" s="18" t="s">
        <v>31</v>
      </c>
      <c r="Q18" s="18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</row>
    <row r="19" spans="2:39" ht="15.75" x14ac:dyDescent="0.25">
      <c r="B19" s="4" t="s">
        <v>22</v>
      </c>
      <c r="P19" s="20">
        <v>45421</v>
      </c>
      <c r="Q19" s="20">
        <v>45422</v>
      </c>
      <c r="R19" s="20">
        <v>45423</v>
      </c>
      <c r="S19" s="20">
        <v>45424</v>
      </c>
      <c r="T19" s="20">
        <v>45425</v>
      </c>
      <c r="U19" s="20">
        <v>45426</v>
      </c>
      <c r="V19" s="20">
        <v>45427</v>
      </c>
      <c r="W19" s="20">
        <v>45428</v>
      </c>
      <c r="X19" s="20">
        <v>45429</v>
      </c>
      <c r="Y19" s="20">
        <v>45430</v>
      </c>
      <c r="Z19" s="20">
        <v>45431</v>
      </c>
      <c r="AA19" s="20">
        <v>45432</v>
      </c>
      <c r="AB19" s="20">
        <v>45433</v>
      </c>
      <c r="AC19" s="20">
        <v>45434</v>
      </c>
      <c r="AD19" s="20">
        <v>45435</v>
      </c>
      <c r="AE19" s="20">
        <v>45436</v>
      </c>
      <c r="AF19" s="20">
        <v>45437</v>
      </c>
      <c r="AG19" s="20">
        <v>45438</v>
      </c>
      <c r="AH19" s="20">
        <v>45439</v>
      </c>
      <c r="AI19" s="20">
        <v>45440</v>
      </c>
      <c r="AJ19" s="20">
        <v>45441</v>
      </c>
      <c r="AK19" s="20">
        <v>45442</v>
      </c>
      <c r="AL19" s="20">
        <v>45443</v>
      </c>
      <c r="AM19" s="20">
        <v>45444</v>
      </c>
    </row>
    <row r="20" spans="2:39" ht="15.75" x14ac:dyDescent="0.25">
      <c r="B20" s="4" t="s">
        <v>23</v>
      </c>
      <c r="P20" s="22"/>
      <c r="Q20" s="22"/>
      <c r="R20" s="22"/>
      <c r="S20" s="22"/>
      <c r="T20" s="22"/>
      <c r="U20" s="22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</row>
    <row r="21" spans="2:39" ht="15.75" x14ac:dyDescent="0.25">
      <c r="B21" s="4" t="s">
        <v>24</v>
      </c>
      <c r="P21" s="23" t="str">
        <f>IF(AND(P$19&gt;=$I6,P$19&lt;=$J6),"X",0)</f>
        <v>X</v>
      </c>
      <c r="Q21" s="24" t="str">
        <f t="shared" ref="Q21:AM31" si="7">IF(AND(Q$19&gt;=$I6,Q$19&lt;=$J6),"X",0)</f>
        <v>X</v>
      </c>
      <c r="R21" s="24" t="str">
        <f t="shared" si="7"/>
        <v>X</v>
      </c>
      <c r="S21" s="24" t="str">
        <f t="shared" si="7"/>
        <v>X</v>
      </c>
      <c r="T21" s="24" t="str">
        <f t="shared" si="7"/>
        <v>X</v>
      </c>
      <c r="U21" s="21" t="str">
        <f t="shared" si="7"/>
        <v>X</v>
      </c>
      <c r="V21" s="21">
        <f t="shared" si="7"/>
        <v>0</v>
      </c>
      <c r="W21" s="10">
        <f t="shared" si="7"/>
        <v>0</v>
      </c>
      <c r="X21" s="28">
        <f t="shared" si="7"/>
        <v>0</v>
      </c>
      <c r="Y21" s="28">
        <f t="shared" si="7"/>
        <v>0</v>
      </c>
      <c r="Z21" s="10">
        <f t="shared" si="7"/>
        <v>0</v>
      </c>
      <c r="AA21" s="10">
        <f t="shared" si="7"/>
        <v>0</v>
      </c>
      <c r="AB21" s="10">
        <f t="shared" si="7"/>
        <v>0</v>
      </c>
      <c r="AC21" s="10">
        <f t="shared" si="7"/>
        <v>0</v>
      </c>
      <c r="AD21" s="10">
        <f t="shared" si="7"/>
        <v>0</v>
      </c>
      <c r="AE21" s="10">
        <f t="shared" si="7"/>
        <v>0</v>
      </c>
      <c r="AF21" s="10">
        <f t="shared" si="7"/>
        <v>0</v>
      </c>
      <c r="AG21" s="10">
        <f t="shared" si="7"/>
        <v>0</v>
      </c>
      <c r="AH21" s="10">
        <f t="shared" si="7"/>
        <v>0</v>
      </c>
      <c r="AI21" s="10">
        <f t="shared" si="7"/>
        <v>0</v>
      </c>
      <c r="AJ21" s="10">
        <f t="shared" si="7"/>
        <v>0</v>
      </c>
      <c r="AK21" s="10">
        <f t="shared" si="7"/>
        <v>0</v>
      </c>
      <c r="AL21" s="10">
        <f t="shared" si="7"/>
        <v>0</v>
      </c>
      <c r="AM21" s="10">
        <f t="shared" si="7"/>
        <v>0</v>
      </c>
    </row>
    <row r="22" spans="2:39" x14ac:dyDescent="0.25">
      <c r="P22" s="5">
        <f t="shared" ref="P22:AE31" si="8">IF(AND(P$19&gt;=$I7,P$19&lt;=$J7),"X",0)</f>
        <v>0</v>
      </c>
      <c r="Q22" s="5">
        <f t="shared" si="8"/>
        <v>0</v>
      </c>
      <c r="R22" s="5">
        <f t="shared" si="8"/>
        <v>0</v>
      </c>
      <c r="S22" s="5">
        <f t="shared" si="8"/>
        <v>0</v>
      </c>
      <c r="T22" s="5">
        <f t="shared" si="8"/>
        <v>0</v>
      </c>
      <c r="U22" s="5">
        <f t="shared" si="8"/>
        <v>0</v>
      </c>
      <c r="V22" s="28">
        <f t="shared" si="8"/>
        <v>0</v>
      </c>
      <c r="W22" s="26">
        <f t="shared" si="8"/>
        <v>0</v>
      </c>
      <c r="X22" s="23" t="str">
        <f t="shared" si="8"/>
        <v>X</v>
      </c>
      <c r="Y22" s="21" t="str">
        <f t="shared" si="8"/>
        <v>X</v>
      </c>
      <c r="Z22" s="21">
        <f t="shared" si="8"/>
        <v>0</v>
      </c>
      <c r="AA22" s="10">
        <f t="shared" si="8"/>
        <v>0</v>
      </c>
      <c r="AB22" s="10">
        <f t="shared" si="8"/>
        <v>0</v>
      </c>
      <c r="AC22" s="10">
        <f t="shared" si="8"/>
        <v>0</v>
      </c>
      <c r="AD22" s="10">
        <f t="shared" si="8"/>
        <v>0</v>
      </c>
      <c r="AE22" s="10">
        <f t="shared" si="8"/>
        <v>0</v>
      </c>
      <c r="AF22" s="10">
        <f t="shared" si="7"/>
        <v>0</v>
      </c>
      <c r="AG22" s="10">
        <f t="shared" si="7"/>
        <v>0</v>
      </c>
      <c r="AH22" s="10">
        <f t="shared" si="7"/>
        <v>0</v>
      </c>
      <c r="AI22" s="10">
        <f t="shared" si="7"/>
        <v>0</v>
      </c>
      <c r="AJ22" s="10">
        <f t="shared" si="7"/>
        <v>0</v>
      </c>
      <c r="AK22" s="10">
        <f t="shared" si="7"/>
        <v>0</v>
      </c>
      <c r="AL22" s="10">
        <f t="shared" si="7"/>
        <v>0</v>
      </c>
      <c r="AM22" s="10">
        <f t="shared" si="7"/>
        <v>0</v>
      </c>
    </row>
    <row r="23" spans="2:39" x14ac:dyDescent="0.25">
      <c r="P23" s="10">
        <f t="shared" si="8"/>
        <v>0</v>
      </c>
      <c r="Q23" s="10">
        <f t="shared" si="7"/>
        <v>0</v>
      </c>
      <c r="R23" s="10">
        <f t="shared" si="7"/>
        <v>0</v>
      </c>
      <c r="S23" s="10">
        <f t="shared" si="7"/>
        <v>0</v>
      </c>
      <c r="T23" s="10">
        <f t="shared" si="7"/>
        <v>0</v>
      </c>
      <c r="U23" s="23">
        <f t="shared" si="7"/>
        <v>0</v>
      </c>
      <c r="V23" s="23" t="str">
        <f t="shared" si="7"/>
        <v>X</v>
      </c>
      <c r="W23" s="24" t="str">
        <f t="shared" si="7"/>
        <v>X</v>
      </c>
      <c r="X23" s="25" t="str">
        <f t="shared" si="7"/>
        <v>X</v>
      </c>
      <c r="Y23" s="25">
        <f t="shared" si="7"/>
        <v>0</v>
      </c>
      <c r="Z23" s="28">
        <f t="shared" si="7"/>
        <v>0</v>
      </c>
      <c r="AA23" s="28">
        <f t="shared" si="7"/>
        <v>0</v>
      </c>
      <c r="AB23" s="10">
        <f t="shared" si="7"/>
        <v>0</v>
      </c>
      <c r="AC23" s="10">
        <f t="shared" si="7"/>
        <v>0</v>
      </c>
      <c r="AD23" s="10">
        <f t="shared" si="7"/>
        <v>0</v>
      </c>
      <c r="AE23" s="10">
        <f t="shared" si="7"/>
        <v>0</v>
      </c>
      <c r="AF23" s="10">
        <f t="shared" si="7"/>
        <v>0</v>
      </c>
      <c r="AG23" s="10">
        <f t="shared" si="7"/>
        <v>0</v>
      </c>
      <c r="AH23" s="10">
        <f t="shared" si="7"/>
        <v>0</v>
      </c>
      <c r="AI23" s="10">
        <f t="shared" si="7"/>
        <v>0</v>
      </c>
      <c r="AJ23" s="10">
        <f t="shared" si="7"/>
        <v>0</v>
      </c>
      <c r="AK23" s="10">
        <f t="shared" si="7"/>
        <v>0</v>
      </c>
      <c r="AL23" s="10">
        <f t="shared" si="7"/>
        <v>0</v>
      </c>
      <c r="AM23" s="10">
        <f t="shared" si="7"/>
        <v>0</v>
      </c>
    </row>
    <row r="24" spans="2:39" x14ac:dyDescent="0.25">
      <c r="P24" s="10">
        <f t="shared" si="8"/>
        <v>0</v>
      </c>
      <c r="Q24" s="10">
        <f t="shared" si="7"/>
        <v>0</v>
      </c>
      <c r="R24" s="10">
        <f t="shared" si="7"/>
        <v>0</v>
      </c>
      <c r="S24" s="10">
        <f t="shared" si="7"/>
        <v>0</v>
      </c>
      <c r="T24" s="10">
        <f t="shared" si="7"/>
        <v>0</v>
      </c>
      <c r="U24" s="10">
        <f t="shared" si="7"/>
        <v>0</v>
      </c>
      <c r="V24" s="5">
        <f t="shared" si="7"/>
        <v>0</v>
      </c>
      <c r="W24" s="5">
        <f t="shared" si="7"/>
        <v>0</v>
      </c>
      <c r="X24" s="5">
        <f t="shared" si="7"/>
        <v>0</v>
      </c>
      <c r="Y24" s="26">
        <f t="shared" si="7"/>
        <v>0</v>
      </c>
      <c r="Z24" s="26" t="str">
        <f t="shared" si="7"/>
        <v>X</v>
      </c>
      <c r="AA24" s="30" t="str">
        <f t="shared" si="7"/>
        <v>X</v>
      </c>
      <c r="AB24" s="30">
        <f t="shared" si="7"/>
        <v>0</v>
      </c>
      <c r="AC24" s="10">
        <f t="shared" si="7"/>
        <v>0</v>
      </c>
      <c r="AD24" s="10">
        <f t="shared" si="7"/>
        <v>0</v>
      </c>
      <c r="AE24" s="10">
        <f t="shared" si="7"/>
        <v>0</v>
      </c>
      <c r="AF24" s="10">
        <f t="shared" si="7"/>
        <v>0</v>
      </c>
      <c r="AG24" s="10">
        <f t="shared" si="7"/>
        <v>0</v>
      </c>
      <c r="AH24" s="10">
        <f t="shared" si="7"/>
        <v>0</v>
      </c>
      <c r="AI24" s="10">
        <f t="shared" si="7"/>
        <v>0</v>
      </c>
      <c r="AJ24" s="10">
        <f t="shared" si="7"/>
        <v>0</v>
      </c>
      <c r="AK24" s="10">
        <f t="shared" si="7"/>
        <v>0</v>
      </c>
      <c r="AL24" s="10">
        <f t="shared" si="7"/>
        <v>0</v>
      </c>
      <c r="AM24" s="10">
        <f t="shared" si="7"/>
        <v>0</v>
      </c>
    </row>
    <row r="25" spans="2:39" x14ac:dyDescent="0.25">
      <c r="P25" s="10">
        <f t="shared" si="8"/>
        <v>0</v>
      </c>
      <c r="Q25" s="10">
        <f t="shared" si="7"/>
        <v>0</v>
      </c>
      <c r="R25" s="10">
        <f t="shared" si="7"/>
        <v>0</v>
      </c>
      <c r="S25" s="10">
        <f t="shared" si="7"/>
        <v>0</v>
      </c>
      <c r="T25" s="10">
        <f t="shared" si="7"/>
        <v>0</v>
      </c>
      <c r="U25" s="10">
        <f t="shared" si="7"/>
        <v>0</v>
      </c>
      <c r="V25" s="10">
        <f t="shared" si="7"/>
        <v>0</v>
      </c>
      <c r="W25" s="10">
        <f t="shared" si="7"/>
        <v>0</v>
      </c>
      <c r="X25" s="23">
        <f t="shared" si="7"/>
        <v>0</v>
      </c>
      <c r="Y25" s="23" t="str">
        <f t="shared" si="7"/>
        <v>X</v>
      </c>
      <c r="Z25" s="24" t="str">
        <f t="shared" si="7"/>
        <v>X</v>
      </c>
      <c r="AA25" s="24" t="str">
        <f t="shared" si="7"/>
        <v>X</v>
      </c>
      <c r="AB25" s="21" t="str">
        <f t="shared" si="7"/>
        <v>X</v>
      </c>
      <c r="AC25" s="21">
        <f t="shared" si="7"/>
        <v>0</v>
      </c>
      <c r="AD25" s="10">
        <f t="shared" si="7"/>
        <v>0</v>
      </c>
      <c r="AE25" s="10">
        <f t="shared" si="7"/>
        <v>0</v>
      </c>
      <c r="AF25" s="10">
        <f t="shared" si="7"/>
        <v>0</v>
      </c>
      <c r="AG25" s="10">
        <f t="shared" si="7"/>
        <v>0</v>
      </c>
      <c r="AH25" s="10">
        <f t="shared" si="7"/>
        <v>0</v>
      </c>
      <c r="AI25" s="10">
        <f t="shared" si="7"/>
        <v>0</v>
      </c>
      <c r="AJ25" s="10">
        <f t="shared" si="7"/>
        <v>0</v>
      </c>
      <c r="AK25" s="10">
        <f t="shared" si="7"/>
        <v>0</v>
      </c>
      <c r="AL25" s="10">
        <f t="shared" si="7"/>
        <v>0</v>
      </c>
      <c r="AM25" s="10">
        <f t="shared" si="7"/>
        <v>0</v>
      </c>
    </row>
    <row r="26" spans="2:39" x14ac:dyDescent="0.25">
      <c r="P26" s="10">
        <f t="shared" si="8"/>
        <v>0</v>
      </c>
      <c r="Q26" s="10">
        <f t="shared" si="7"/>
        <v>0</v>
      </c>
      <c r="R26" s="10">
        <f t="shared" si="7"/>
        <v>0</v>
      </c>
      <c r="S26" s="10">
        <f t="shared" si="7"/>
        <v>0</v>
      </c>
      <c r="T26" s="10">
        <f t="shared" si="7"/>
        <v>0</v>
      </c>
      <c r="U26" s="10">
        <f t="shared" si="7"/>
        <v>0</v>
      </c>
      <c r="V26" s="10">
        <f t="shared" si="7"/>
        <v>0</v>
      </c>
      <c r="W26" s="10">
        <f t="shared" si="7"/>
        <v>0</v>
      </c>
      <c r="X26" s="10">
        <f t="shared" si="7"/>
        <v>0</v>
      </c>
      <c r="Y26" s="5">
        <f t="shared" si="7"/>
        <v>0</v>
      </c>
      <c r="Z26" s="5">
        <f t="shared" si="7"/>
        <v>0</v>
      </c>
      <c r="AA26" s="5">
        <f t="shared" si="7"/>
        <v>0</v>
      </c>
      <c r="AB26" s="5" t="str">
        <f t="shared" si="7"/>
        <v>X</v>
      </c>
      <c r="AC26" s="10">
        <f t="shared" si="7"/>
        <v>0</v>
      </c>
      <c r="AD26" s="10">
        <f t="shared" si="7"/>
        <v>0</v>
      </c>
      <c r="AE26" s="10">
        <f t="shared" si="7"/>
        <v>0</v>
      </c>
      <c r="AF26" s="10">
        <f t="shared" si="7"/>
        <v>0</v>
      </c>
      <c r="AG26" s="10">
        <f t="shared" si="7"/>
        <v>0</v>
      </c>
      <c r="AH26" s="10">
        <f t="shared" si="7"/>
        <v>0</v>
      </c>
      <c r="AI26" s="10">
        <f t="shared" si="7"/>
        <v>0</v>
      </c>
      <c r="AJ26" s="10">
        <f t="shared" si="7"/>
        <v>0</v>
      </c>
      <c r="AK26" s="10">
        <f t="shared" si="7"/>
        <v>0</v>
      </c>
      <c r="AL26" s="10">
        <f t="shared" si="7"/>
        <v>0</v>
      </c>
      <c r="AM26" s="10">
        <f t="shared" si="7"/>
        <v>0</v>
      </c>
    </row>
    <row r="27" spans="2:39" x14ac:dyDescent="0.25">
      <c r="P27" s="10">
        <f t="shared" si="8"/>
        <v>0</v>
      </c>
      <c r="Q27" s="10">
        <f t="shared" si="7"/>
        <v>0</v>
      </c>
      <c r="R27" s="10">
        <f t="shared" si="7"/>
        <v>0</v>
      </c>
      <c r="S27" s="10">
        <f t="shared" si="7"/>
        <v>0</v>
      </c>
      <c r="T27" s="10">
        <f t="shared" si="7"/>
        <v>0</v>
      </c>
      <c r="U27" s="10">
        <f t="shared" si="7"/>
        <v>0</v>
      </c>
      <c r="V27" s="10">
        <f t="shared" si="7"/>
        <v>0</v>
      </c>
      <c r="W27" s="10">
        <f t="shared" si="7"/>
        <v>0</v>
      </c>
      <c r="X27" s="10">
        <f t="shared" si="7"/>
        <v>0</v>
      </c>
      <c r="Y27" s="10">
        <f t="shared" si="7"/>
        <v>0</v>
      </c>
      <c r="Z27" s="10">
        <f t="shared" si="7"/>
        <v>0</v>
      </c>
      <c r="AA27" s="10">
        <f t="shared" si="7"/>
        <v>0</v>
      </c>
      <c r="AB27" s="10">
        <f t="shared" si="7"/>
        <v>0</v>
      </c>
      <c r="AC27" s="10" t="str">
        <f t="shared" si="7"/>
        <v>X</v>
      </c>
      <c r="AD27" s="28">
        <f t="shared" si="7"/>
        <v>0</v>
      </c>
      <c r="AE27" s="28">
        <f t="shared" si="7"/>
        <v>0</v>
      </c>
      <c r="AF27" s="28">
        <f t="shared" si="7"/>
        <v>0</v>
      </c>
      <c r="AG27" s="28">
        <f t="shared" si="7"/>
        <v>0</v>
      </c>
      <c r="AH27" s="28">
        <f t="shared" si="7"/>
        <v>0</v>
      </c>
      <c r="AI27" s="28">
        <f t="shared" si="7"/>
        <v>0</v>
      </c>
      <c r="AJ27" s="10">
        <f t="shared" si="7"/>
        <v>0</v>
      </c>
      <c r="AK27" s="10">
        <f t="shared" si="7"/>
        <v>0</v>
      </c>
      <c r="AL27" s="10">
        <f t="shared" si="7"/>
        <v>0</v>
      </c>
      <c r="AM27" s="10">
        <f t="shared" si="7"/>
        <v>0</v>
      </c>
    </row>
    <row r="28" spans="2:39" x14ac:dyDescent="0.25">
      <c r="P28" s="10">
        <f t="shared" si="8"/>
        <v>0</v>
      </c>
      <c r="Q28" s="10">
        <f t="shared" si="7"/>
        <v>0</v>
      </c>
      <c r="R28" s="10">
        <f t="shared" si="7"/>
        <v>0</v>
      </c>
      <c r="S28" s="10">
        <f t="shared" si="7"/>
        <v>0</v>
      </c>
      <c r="T28" s="10">
        <f t="shared" si="7"/>
        <v>0</v>
      </c>
      <c r="U28" s="10">
        <f t="shared" si="7"/>
        <v>0</v>
      </c>
      <c r="V28" s="10">
        <f t="shared" si="7"/>
        <v>0</v>
      </c>
      <c r="W28" s="10">
        <f t="shared" si="7"/>
        <v>0</v>
      </c>
      <c r="X28" s="10">
        <f t="shared" si="7"/>
        <v>0</v>
      </c>
      <c r="Y28" s="10">
        <f t="shared" si="7"/>
        <v>0</v>
      </c>
      <c r="Z28" s="10">
        <f t="shared" si="7"/>
        <v>0</v>
      </c>
      <c r="AA28" s="10">
        <f t="shared" si="7"/>
        <v>0</v>
      </c>
      <c r="AB28" s="10">
        <f t="shared" si="7"/>
        <v>0</v>
      </c>
      <c r="AC28" s="23">
        <f t="shared" si="7"/>
        <v>0</v>
      </c>
      <c r="AD28" s="23" t="str">
        <f t="shared" si="7"/>
        <v>X</v>
      </c>
      <c r="AE28" s="24" t="str">
        <f t="shared" si="7"/>
        <v>X</v>
      </c>
      <c r="AF28" s="24" t="str">
        <f t="shared" si="7"/>
        <v>X</v>
      </c>
      <c r="AG28" s="24" t="str">
        <f t="shared" si="7"/>
        <v>X</v>
      </c>
      <c r="AH28" s="24" t="str">
        <f t="shared" si="7"/>
        <v>X</v>
      </c>
      <c r="AI28" s="21" t="str">
        <f t="shared" si="7"/>
        <v>X</v>
      </c>
      <c r="AJ28" s="30">
        <f t="shared" si="7"/>
        <v>0</v>
      </c>
      <c r="AK28" s="28">
        <f t="shared" si="7"/>
        <v>0</v>
      </c>
      <c r="AL28" s="28">
        <f t="shared" si="7"/>
        <v>0</v>
      </c>
      <c r="AM28" s="10">
        <f t="shared" si="7"/>
        <v>0</v>
      </c>
    </row>
    <row r="29" spans="2:39" x14ac:dyDescent="0.25">
      <c r="P29" s="10">
        <f t="shared" si="8"/>
        <v>0</v>
      </c>
      <c r="Q29" s="10">
        <f t="shared" si="7"/>
        <v>0</v>
      </c>
      <c r="R29" s="10">
        <f t="shared" si="7"/>
        <v>0</v>
      </c>
      <c r="S29" s="10">
        <f t="shared" si="7"/>
        <v>0</v>
      </c>
      <c r="T29" s="10">
        <f t="shared" si="7"/>
        <v>0</v>
      </c>
      <c r="U29" s="10">
        <f t="shared" si="7"/>
        <v>0</v>
      </c>
      <c r="V29" s="10">
        <f t="shared" si="7"/>
        <v>0</v>
      </c>
      <c r="W29" s="10">
        <f t="shared" si="7"/>
        <v>0</v>
      </c>
      <c r="X29" s="10">
        <f t="shared" si="7"/>
        <v>0</v>
      </c>
      <c r="Y29" s="10">
        <f t="shared" si="7"/>
        <v>0</v>
      </c>
      <c r="Z29" s="10">
        <f t="shared" si="7"/>
        <v>0</v>
      </c>
      <c r="AA29" s="10">
        <f t="shared" si="7"/>
        <v>0</v>
      </c>
      <c r="AB29" s="10">
        <f t="shared" si="7"/>
        <v>0</v>
      </c>
      <c r="AC29" s="10">
        <f t="shared" si="7"/>
        <v>0</v>
      </c>
      <c r="AD29" s="5">
        <f t="shared" si="7"/>
        <v>0</v>
      </c>
      <c r="AE29" s="5">
        <f t="shared" si="7"/>
        <v>0</v>
      </c>
      <c r="AF29" s="5">
        <f t="shared" si="7"/>
        <v>0</v>
      </c>
      <c r="AG29" s="5">
        <f t="shared" si="7"/>
        <v>0</v>
      </c>
      <c r="AH29" s="5">
        <f t="shared" si="7"/>
        <v>0</v>
      </c>
      <c r="AI29" s="29">
        <f t="shared" si="7"/>
        <v>0</v>
      </c>
      <c r="AJ29" s="23" t="str">
        <f t="shared" si="7"/>
        <v>X</v>
      </c>
      <c r="AK29" s="24" t="str">
        <f t="shared" si="7"/>
        <v>X</v>
      </c>
      <c r="AL29" s="21" t="str">
        <f t="shared" si="7"/>
        <v>X</v>
      </c>
      <c r="AM29" s="21">
        <f t="shared" si="7"/>
        <v>0</v>
      </c>
    </row>
    <row r="30" spans="2:39" x14ac:dyDescent="0.25">
      <c r="P30" s="10">
        <f t="shared" si="8"/>
        <v>0</v>
      </c>
      <c r="Q30" s="10">
        <f t="shared" si="7"/>
        <v>0</v>
      </c>
      <c r="R30" s="10">
        <f t="shared" si="7"/>
        <v>0</v>
      </c>
      <c r="S30" s="10">
        <f t="shared" si="7"/>
        <v>0</v>
      </c>
      <c r="T30" s="10">
        <f t="shared" si="7"/>
        <v>0</v>
      </c>
      <c r="U30" s="10">
        <f t="shared" si="7"/>
        <v>0</v>
      </c>
      <c r="V30" s="10">
        <f t="shared" si="7"/>
        <v>0</v>
      </c>
      <c r="W30" s="10">
        <f t="shared" si="7"/>
        <v>0</v>
      </c>
      <c r="X30" s="10">
        <f t="shared" si="7"/>
        <v>0</v>
      </c>
      <c r="Y30" s="10">
        <f t="shared" si="7"/>
        <v>0</v>
      </c>
      <c r="Z30" s="10">
        <f t="shared" si="7"/>
        <v>0</v>
      </c>
      <c r="AA30" s="10">
        <f t="shared" si="7"/>
        <v>0</v>
      </c>
      <c r="AB30" s="10">
        <f t="shared" si="7"/>
        <v>0</v>
      </c>
      <c r="AC30" s="10">
        <f t="shared" si="7"/>
        <v>0</v>
      </c>
      <c r="AD30" s="10">
        <f t="shared" si="7"/>
        <v>0</v>
      </c>
      <c r="AE30" s="10">
        <f t="shared" si="7"/>
        <v>0</v>
      </c>
      <c r="AF30" s="10">
        <f t="shared" si="7"/>
        <v>0</v>
      </c>
      <c r="AG30" s="10">
        <f t="shared" si="7"/>
        <v>0</v>
      </c>
      <c r="AH30" s="10">
        <f t="shared" si="7"/>
        <v>0</v>
      </c>
      <c r="AI30" s="10">
        <f t="shared" si="7"/>
        <v>0</v>
      </c>
      <c r="AJ30" s="5">
        <f t="shared" si="7"/>
        <v>0</v>
      </c>
      <c r="AK30" s="5">
        <f t="shared" si="7"/>
        <v>0</v>
      </c>
      <c r="AL30" s="5" t="str">
        <f t="shared" si="7"/>
        <v>X</v>
      </c>
      <c r="AM30" s="10">
        <f t="shared" si="7"/>
        <v>0</v>
      </c>
    </row>
    <row r="31" spans="2:39" x14ac:dyDescent="0.25">
      <c r="P31" s="10">
        <f t="shared" si="8"/>
        <v>0</v>
      </c>
      <c r="Q31" s="10">
        <f t="shared" si="7"/>
        <v>0</v>
      </c>
      <c r="R31" s="10">
        <f t="shared" si="7"/>
        <v>0</v>
      </c>
      <c r="S31" s="10">
        <f t="shared" si="7"/>
        <v>0</v>
      </c>
      <c r="T31" s="10">
        <f t="shared" si="7"/>
        <v>0</v>
      </c>
      <c r="U31" s="10">
        <f t="shared" si="7"/>
        <v>0</v>
      </c>
      <c r="V31" s="10">
        <f t="shared" si="7"/>
        <v>0</v>
      </c>
      <c r="W31" s="10">
        <f t="shared" si="7"/>
        <v>0</v>
      </c>
      <c r="X31" s="10">
        <f t="shared" si="7"/>
        <v>0</v>
      </c>
      <c r="Y31" s="10">
        <f t="shared" si="7"/>
        <v>0</v>
      </c>
      <c r="Z31" s="10">
        <f t="shared" si="7"/>
        <v>0</v>
      </c>
      <c r="AA31" s="10">
        <f t="shared" si="7"/>
        <v>0</v>
      </c>
      <c r="AB31" s="10">
        <f t="shared" si="7"/>
        <v>0</v>
      </c>
      <c r="AC31" s="10">
        <f t="shared" si="7"/>
        <v>0</v>
      </c>
      <c r="AD31" s="10">
        <f t="shared" si="7"/>
        <v>0</v>
      </c>
      <c r="AE31" s="10">
        <f t="shared" si="7"/>
        <v>0</v>
      </c>
      <c r="AF31" s="10">
        <f t="shared" si="7"/>
        <v>0</v>
      </c>
      <c r="AG31" s="10">
        <f t="shared" si="7"/>
        <v>0</v>
      </c>
      <c r="AH31" s="10">
        <f t="shared" si="7"/>
        <v>0</v>
      </c>
      <c r="AI31" s="10">
        <f t="shared" si="7"/>
        <v>0</v>
      </c>
      <c r="AJ31" s="10">
        <f t="shared" si="7"/>
        <v>0</v>
      </c>
      <c r="AK31" s="10">
        <f t="shared" si="7"/>
        <v>0</v>
      </c>
      <c r="AL31" s="10">
        <f t="shared" si="7"/>
        <v>0</v>
      </c>
      <c r="AM31" s="10" t="str">
        <f t="shared" si="7"/>
        <v>X</v>
      </c>
    </row>
  </sheetData>
  <mergeCells count="4">
    <mergeCell ref="G3:H3"/>
    <mergeCell ref="I3:J3"/>
    <mergeCell ref="P3:Q3"/>
    <mergeCell ref="P18:Q18"/>
  </mergeCells>
  <conditionalFormatting sqref="P6:AM16">
    <cfRule type="cellIs" dxfId="23" priority="24" operator="equal">
      <formula>0</formula>
    </cfRule>
  </conditionalFormatting>
  <conditionalFormatting sqref="P20:AM31">
    <cfRule type="cellIs" dxfId="22" priority="23" operator="equal">
      <formula>0</formula>
    </cfRule>
  </conditionalFormatting>
  <conditionalFormatting sqref="P6:AM6">
    <cfRule type="cellIs" dxfId="21" priority="22" operator="equal">
      <formula>"X"</formula>
    </cfRule>
  </conditionalFormatting>
  <conditionalFormatting sqref="P7:AM7">
    <cfRule type="cellIs" dxfId="20" priority="21" operator="equal">
      <formula>"X"</formula>
    </cfRule>
  </conditionalFormatting>
  <conditionalFormatting sqref="P8:AM8">
    <cfRule type="cellIs" dxfId="19" priority="20" operator="equal">
      <formula>"X"</formula>
    </cfRule>
  </conditionalFormatting>
  <conditionalFormatting sqref="P9:AM9">
    <cfRule type="cellIs" dxfId="18" priority="19" operator="equal">
      <formula>"X"</formula>
    </cfRule>
  </conditionalFormatting>
  <conditionalFormatting sqref="P10:AM10">
    <cfRule type="cellIs" dxfId="17" priority="18" operator="equal">
      <formula>"X"</formula>
    </cfRule>
  </conditionalFormatting>
  <conditionalFormatting sqref="P11:AM11">
    <cfRule type="cellIs" dxfId="16" priority="17" operator="equal">
      <formula>"X"</formula>
    </cfRule>
  </conditionalFormatting>
  <conditionalFormatting sqref="P12:AM12">
    <cfRule type="cellIs" dxfId="15" priority="16" operator="equal">
      <formula>"X"</formula>
    </cfRule>
  </conditionalFormatting>
  <conditionalFormatting sqref="P13:AM13">
    <cfRule type="cellIs" dxfId="14" priority="15" operator="equal">
      <formula>"X"</formula>
    </cfRule>
  </conditionalFormatting>
  <conditionalFormatting sqref="P14:AM14">
    <cfRule type="cellIs" dxfId="13" priority="14" operator="equal">
      <formula>"X"</formula>
    </cfRule>
  </conditionalFormatting>
  <conditionalFormatting sqref="P15:AM15">
    <cfRule type="cellIs" dxfId="12" priority="13" operator="equal">
      <formula>"X"</formula>
    </cfRule>
  </conditionalFormatting>
  <conditionalFormatting sqref="P16:AM16">
    <cfRule type="cellIs" dxfId="11" priority="12" operator="equal">
      <formula>"X"</formula>
    </cfRule>
  </conditionalFormatting>
  <conditionalFormatting sqref="P21:AM21">
    <cfRule type="cellIs" dxfId="10" priority="11" operator="equal">
      <formula>"X"</formula>
    </cfRule>
  </conditionalFormatting>
  <conditionalFormatting sqref="P22:AM22">
    <cfRule type="cellIs" dxfId="9" priority="10" operator="equal">
      <formula>"X"</formula>
    </cfRule>
  </conditionalFormatting>
  <conditionalFormatting sqref="P23:AM23">
    <cfRule type="cellIs" dxfId="8" priority="9" operator="equal">
      <formula>"X"</formula>
    </cfRule>
  </conditionalFormatting>
  <conditionalFormatting sqref="P24:AM24">
    <cfRule type="cellIs" dxfId="7" priority="8" operator="equal">
      <formula>"X"</formula>
    </cfRule>
  </conditionalFormatting>
  <conditionalFormatting sqref="P25:AM25">
    <cfRule type="cellIs" dxfId="6" priority="7" operator="equal">
      <formula>"X"</formula>
    </cfRule>
  </conditionalFormatting>
  <conditionalFormatting sqref="P26:AM26">
    <cfRule type="cellIs" dxfId="5" priority="6" operator="equal">
      <formula>"X"</formula>
    </cfRule>
  </conditionalFormatting>
  <conditionalFormatting sqref="P27:AM27">
    <cfRule type="cellIs" dxfId="4" priority="5" operator="equal">
      <formula>"X"</formula>
    </cfRule>
  </conditionalFormatting>
  <conditionalFormatting sqref="P28:AM28">
    <cfRule type="cellIs" dxfId="3" priority="4" operator="equal">
      <formula>"X"</formula>
    </cfRule>
  </conditionalFormatting>
  <conditionalFormatting sqref="P29:AM29">
    <cfRule type="cellIs" dxfId="2" priority="3" operator="equal">
      <formula>"X"</formula>
    </cfRule>
  </conditionalFormatting>
  <conditionalFormatting sqref="P30:AM30">
    <cfRule type="cellIs" dxfId="1" priority="2" operator="equal">
      <formula>"X"</formula>
    </cfRule>
  </conditionalFormatting>
  <conditionalFormatting sqref="P31:AM31">
    <cfRule type="cellIs" dxfId="0" priority="1" operator="equal">
      <formula>"X"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UTENTE16</cp:lastModifiedBy>
  <dcterms:created xsi:type="dcterms:W3CDTF">2024-05-08T17:00:33Z</dcterms:created>
  <dcterms:modified xsi:type="dcterms:W3CDTF">2024-05-09T10:08:57Z</dcterms:modified>
</cp:coreProperties>
</file>