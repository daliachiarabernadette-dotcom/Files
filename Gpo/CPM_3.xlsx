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Gpo\"/>
    </mc:Choice>
  </mc:AlternateContent>
  <xr:revisionPtr revIDLastSave="0" documentId="13_ncr:1_{1594DE02-DC0C-461F-A964-3EDDBFF843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 s="1"/>
  <c r="G27" i="1" s="1"/>
  <c r="H27" i="1" s="1"/>
  <c r="G29" i="1" s="1"/>
  <c r="H29" i="1" s="1"/>
  <c r="G24" i="1"/>
  <c r="H24" i="1" s="1"/>
  <c r="G26" i="1" s="1"/>
  <c r="H26" i="1" s="1"/>
  <c r="G28" i="1" s="1"/>
  <c r="H28" i="1" s="1"/>
  <c r="H23" i="1"/>
  <c r="H5" i="1"/>
  <c r="G23" i="1"/>
  <c r="P22" i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P4" i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G30" i="1" l="1"/>
  <c r="H30" i="1" s="1"/>
  <c r="G31" i="1" s="1"/>
  <c r="H31" i="1" s="1"/>
  <c r="G32" i="1" l="1"/>
  <c r="H32" i="1" s="1"/>
  <c r="G33" i="1"/>
  <c r="H33" i="1" s="1"/>
  <c r="G7" i="1"/>
  <c r="G6" i="1"/>
  <c r="H6" i="1" s="1"/>
  <c r="G8" i="1" s="1"/>
  <c r="G5" i="1"/>
  <c r="Q6" i="1" l="1"/>
  <c r="U6" i="1"/>
  <c r="Y6" i="1"/>
  <c r="AC6" i="1"/>
  <c r="AG6" i="1"/>
  <c r="AK6" i="1"/>
  <c r="R6" i="1"/>
  <c r="V6" i="1"/>
  <c r="Z6" i="1"/>
  <c r="AD6" i="1"/>
  <c r="AH6" i="1"/>
  <c r="AL6" i="1"/>
  <c r="X6" i="1"/>
  <c r="AF6" i="1"/>
  <c r="S6" i="1"/>
  <c r="AA6" i="1"/>
  <c r="AI6" i="1"/>
  <c r="T6" i="1"/>
  <c r="AB6" i="1"/>
  <c r="AJ6" i="1"/>
  <c r="W6" i="1"/>
  <c r="AE6" i="1"/>
  <c r="AM6" i="1"/>
  <c r="P6" i="1"/>
  <c r="G34" i="1"/>
  <c r="H34" i="1" s="1"/>
  <c r="J34" i="1" s="1"/>
  <c r="H8" i="1"/>
  <c r="G10" i="1" s="1"/>
  <c r="H7" i="1"/>
  <c r="G9" i="1" s="1"/>
  <c r="AC8" i="1" l="1"/>
  <c r="R8" i="1"/>
  <c r="P8" i="1"/>
  <c r="X8" i="1"/>
  <c r="AL8" i="1"/>
  <c r="AE8" i="1"/>
  <c r="AC7" i="1"/>
  <c r="AM7" i="1"/>
  <c r="W7" i="1"/>
  <c r="AD7" i="1"/>
  <c r="AF7" i="1"/>
  <c r="AG7" i="1"/>
  <c r="S7" i="1"/>
  <c r="T8" i="1"/>
  <c r="X7" i="1"/>
  <c r="AJ7" i="1"/>
  <c r="Y7" i="1"/>
  <c r="AE7" i="1"/>
  <c r="AL7" i="1"/>
  <c r="V7" i="1"/>
  <c r="Y8" i="1"/>
  <c r="V8" i="1"/>
  <c r="AH8" i="1"/>
  <c r="AF8" i="1"/>
  <c r="AM8" i="1"/>
  <c r="W8" i="1"/>
  <c r="P7" i="1"/>
  <c r="T7" i="1"/>
  <c r="U7" i="1"/>
  <c r="AI7" i="1"/>
  <c r="Z7" i="1"/>
  <c r="AG8" i="1"/>
  <c r="AD8" i="1"/>
  <c r="U8" i="1"/>
  <c r="AJ8" i="1"/>
  <c r="AA8" i="1"/>
  <c r="AK7" i="1"/>
  <c r="AB7" i="1"/>
  <c r="Q7" i="1"/>
  <c r="AA7" i="1"/>
  <c r="AH7" i="1"/>
  <c r="R7" i="1"/>
  <c r="Q8" i="1"/>
  <c r="AK8" i="1"/>
  <c r="Z8" i="1"/>
  <c r="AB8" i="1"/>
  <c r="AI8" i="1"/>
  <c r="S8" i="1"/>
  <c r="I34" i="1"/>
  <c r="L34" i="1"/>
  <c r="M34" i="1" s="1"/>
  <c r="N34" i="1" s="1"/>
  <c r="H9" i="1"/>
  <c r="G11" i="1" s="1"/>
  <c r="H10" i="1"/>
  <c r="Q10" i="1" s="1"/>
  <c r="Y9" i="1" l="1"/>
  <c r="AF9" i="1"/>
  <c r="P9" i="1"/>
  <c r="AM9" i="1"/>
  <c r="AD9" i="1"/>
  <c r="S9" i="1"/>
  <c r="AF10" i="1"/>
  <c r="AL10" i="1"/>
  <c r="AC10" i="1"/>
  <c r="AI10" i="1"/>
  <c r="X10" i="1"/>
  <c r="AJ10" i="1"/>
  <c r="R10" i="1"/>
  <c r="Y10" i="1"/>
  <c r="AH9" i="1"/>
  <c r="AE9" i="1"/>
  <c r="V9" i="1"/>
  <c r="AK9" i="1"/>
  <c r="U9" i="1"/>
  <c r="AB9" i="1"/>
  <c r="AA10" i="1"/>
  <c r="AM10" i="1"/>
  <c r="AB10" i="1"/>
  <c r="AD10" i="1"/>
  <c r="AK10" i="1"/>
  <c r="U10" i="1"/>
  <c r="Z9" i="1"/>
  <c r="W9" i="1"/>
  <c r="AI9" i="1"/>
  <c r="AG9" i="1"/>
  <c r="Q9" i="1"/>
  <c r="X9" i="1"/>
  <c r="P10" i="1"/>
  <c r="W10" i="1"/>
  <c r="V10" i="1"/>
  <c r="AH10" i="1"/>
  <c r="S10" i="1"/>
  <c r="AE10" i="1"/>
  <c r="T10" i="1"/>
  <c r="Z10" i="1"/>
  <c r="AG10" i="1"/>
  <c r="R9" i="1"/>
  <c r="AL9" i="1"/>
  <c r="AA9" i="1"/>
  <c r="AC9" i="1"/>
  <c r="AJ9" i="1"/>
  <c r="T9" i="1"/>
  <c r="J32" i="1"/>
  <c r="J33" i="1"/>
  <c r="H11" i="1"/>
  <c r="G12" i="1" s="1"/>
  <c r="AJ11" i="1" l="1"/>
  <c r="AI11" i="1"/>
  <c r="V11" i="1"/>
  <c r="AE11" i="1"/>
  <c r="Q11" i="1"/>
  <c r="S11" i="1"/>
  <c r="Y11" i="1"/>
  <c r="AK11" i="1"/>
  <c r="Z11" i="1"/>
  <c r="AB11" i="1"/>
  <c r="AC11" i="1"/>
  <c r="AL11" i="1"/>
  <c r="T11" i="1"/>
  <c r="AF11" i="1"/>
  <c r="U11" i="1"/>
  <c r="AA11" i="1"/>
  <c r="AH11" i="1"/>
  <c r="R11" i="1"/>
  <c r="P11" i="1"/>
  <c r="AG11" i="1"/>
  <c r="X11" i="1"/>
  <c r="AM11" i="1"/>
  <c r="W11" i="1"/>
  <c r="AD11" i="1"/>
  <c r="I33" i="1"/>
  <c r="L33" i="1"/>
  <c r="M33" i="1" s="1"/>
  <c r="N33" i="1" s="1"/>
  <c r="L32" i="1"/>
  <c r="M32" i="1" s="1"/>
  <c r="N32" i="1" s="1"/>
  <c r="I32" i="1"/>
  <c r="H12" i="1"/>
  <c r="G13" i="1" s="1"/>
  <c r="U12" i="1" l="1"/>
  <c r="AG12" i="1"/>
  <c r="AD12" i="1"/>
  <c r="AB12" i="1"/>
  <c r="AI12" i="1"/>
  <c r="S12" i="1"/>
  <c r="P12" i="1"/>
  <c r="AH12" i="1"/>
  <c r="Y12" i="1"/>
  <c r="V12" i="1"/>
  <c r="X12" i="1"/>
  <c r="AE12" i="1"/>
  <c r="AK12" i="1"/>
  <c r="Z12" i="1"/>
  <c r="Q12" i="1"/>
  <c r="AJ12" i="1"/>
  <c r="T12" i="1"/>
  <c r="AA12" i="1"/>
  <c r="AC12" i="1"/>
  <c r="R12" i="1"/>
  <c r="AL12" i="1"/>
  <c r="AF12" i="1"/>
  <c r="AM12" i="1"/>
  <c r="W12" i="1"/>
  <c r="J31" i="1"/>
  <c r="H13" i="1"/>
  <c r="T13" i="1" s="1"/>
  <c r="AL13" i="1" l="1"/>
  <c r="U13" i="1"/>
  <c r="Z13" i="1"/>
  <c r="R13" i="1"/>
  <c r="P13" i="1"/>
  <c r="Y13" i="1"/>
  <c r="AI13" i="1"/>
  <c r="W13" i="1"/>
  <c r="AF13" i="1"/>
  <c r="AA13" i="1"/>
  <c r="AK13" i="1"/>
  <c r="AB13" i="1"/>
  <c r="AD13" i="1"/>
  <c r="S13" i="1"/>
  <c r="AM13" i="1"/>
  <c r="AG13" i="1"/>
  <c r="Q13" i="1"/>
  <c r="X13" i="1"/>
  <c r="V13" i="1"/>
  <c r="AH13" i="1"/>
  <c r="AE13" i="1"/>
  <c r="AC13" i="1"/>
  <c r="AJ13" i="1"/>
  <c r="L31" i="1"/>
  <c r="M31" i="1" s="1"/>
  <c r="N31" i="1" s="1"/>
  <c r="I31" i="1"/>
  <c r="J30" i="1" s="1"/>
  <c r="G15" i="1"/>
  <c r="G14" i="1"/>
  <c r="I30" i="1" l="1"/>
  <c r="L30" i="1"/>
  <c r="M30" i="1" s="1"/>
  <c r="N30" i="1" s="1"/>
  <c r="H14" i="1"/>
  <c r="U14" i="1" s="1"/>
  <c r="H15" i="1"/>
  <c r="R15" i="1" s="1"/>
  <c r="AG14" i="1" l="1"/>
  <c r="W14" i="1"/>
  <c r="X14" i="1"/>
  <c r="Z14" i="1"/>
  <c r="AI14" i="1"/>
  <c r="Q14" i="1"/>
  <c r="AC15" i="1"/>
  <c r="AM15" i="1"/>
  <c r="AD15" i="1"/>
  <c r="X15" i="1"/>
  <c r="AJ15" i="1"/>
  <c r="Y15" i="1"/>
  <c r="AE15" i="1"/>
  <c r="AL15" i="1"/>
  <c r="V15" i="1"/>
  <c r="AM14" i="1"/>
  <c r="AB14" i="1"/>
  <c r="S14" i="1"/>
  <c r="AH14" i="1"/>
  <c r="R14" i="1"/>
  <c r="Y14" i="1"/>
  <c r="P15" i="1"/>
  <c r="T15" i="1"/>
  <c r="W15" i="1"/>
  <c r="AF15" i="1"/>
  <c r="U15" i="1"/>
  <c r="AG15" i="1"/>
  <c r="AI15" i="1"/>
  <c r="S15" i="1"/>
  <c r="Z15" i="1"/>
  <c r="P14" i="1"/>
  <c r="AJ14" i="1"/>
  <c r="AA14" i="1"/>
  <c r="AL14" i="1"/>
  <c r="V14" i="1"/>
  <c r="AC14" i="1"/>
  <c r="AK15" i="1"/>
  <c r="AB15" i="1"/>
  <c r="Q15" i="1"/>
  <c r="AA15" i="1"/>
  <c r="AH15" i="1"/>
  <c r="AE14" i="1"/>
  <c r="T14" i="1"/>
  <c r="AF14" i="1"/>
  <c r="AD14" i="1"/>
  <c r="AK14" i="1"/>
  <c r="G16" i="1"/>
  <c r="J29" i="1"/>
  <c r="J28" i="1"/>
  <c r="H16" i="1" l="1"/>
  <c r="J16" i="1" s="1"/>
  <c r="L28" i="1"/>
  <c r="M28" i="1" s="1"/>
  <c r="N28" i="1" s="1"/>
  <c r="I28" i="1"/>
  <c r="J26" i="1" s="1"/>
  <c r="I29" i="1"/>
  <c r="J27" i="1" s="1"/>
  <c r="L29" i="1"/>
  <c r="M29" i="1" s="1"/>
  <c r="N29" i="1" s="1"/>
  <c r="P16" i="1" l="1"/>
  <c r="P17" i="1" s="1"/>
  <c r="AC16" i="1"/>
  <c r="AC17" i="1" s="1"/>
  <c r="Y16" i="1"/>
  <c r="Y18" i="1" s="1"/>
  <c r="AA16" i="1"/>
  <c r="AA18" i="1" s="1"/>
  <c r="AB16" i="1"/>
  <c r="AB17" i="1" s="1"/>
  <c r="Z16" i="1"/>
  <c r="Z17" i="1" s="1"/>
  <c r="W16" i="1"/>
  <c r="W18" i="1" s="1"/>
  <c r="U16" i="1"/>
  <c r="U17" i="1" s="1"/>
  <c r="R16" i="1"/>
  <c r="R17" i="1" s="1"/>
  <c r="Q16" i="1"/>
  <c r="Q18" i="1" s="1"/>
  <c r="AL16" i="1"/>
  <c r="AK16" i="1"/>
  <c r="AI16" i="1"/>
  <c r="AI17" i="1" s="1"/>
  <c r="AJ16" i="1"/>
  <c r="T16" i="1"/>
  <c r="AM16" i="1"/>
  <c r="AM17" i="1" s="1"/>
  <c r="V16" i="1"/>
  <c r="V17" i="1" s="1"/>
  <c r="X16" i="1"/>
  <c r="X17" i="1" s="1"/>
  <c r="B3" i="1"/>
  <c r="AH16" i="1"/>
  <c r="AG16" i="1"/>
  <c r="AE16" i="1"/>
  <c r="AE17" i="1" s="1"/>
  <c r="AD16" i="1"/>
  <c r="AF16" i="1"/>
  <c r="AF17" i="1" s="1"/>
  <c r="S16" i="1"/>
  <c r="R18" i="1"/>
  <c r="I16" i="1"/>
  <c r="L16" i="1"/>
  <c r="M16" i="1" s="1"/>
  <c r="N16" i="1" s="1"/>
  <c r="I26" i="1"/>
  <c r="J24" i="1" s="1"/>
  <c r="L26" i="1"/>
  <c r="M26" i="1" s="1"/>
  <c r="N26" i="1" s="1"/>
  <c r="L27" i="1"/>
  <c r="M27" i="1" s="1"/>
  <c r="N27" i="1" s="1"/>
  <c r="I27" i="1"/>
  <c r="J25" i="1" s="1"/>
  <c r="AI18" i="1" l="1"/>
  <c r="AC18" i="1"/>
  <c r="Z18" i="1"/>
  <c r="AM18" i="1"/>
  <c r="W17" i="1"/>
  <c r="P18" i="1"/>
  <c r="Y17" i="1"/>
  <c r="Q17" i="1"/>
  <c r="U18" i="1"/>
  <c r="AF18" i="1"/>
  <c r="V18" i="1"/>
  <c r="AB18" i="1"/>
  <c r="AA17" i="1"/>
  <c r="AE18" i="1"/>
  <c r="AK18" i="1"/>
  <c r="AK17" i="1"/>
  <c r="T17" i="1"/>
  <c r="T18" i="1"/>
  <c r="AL18" i="1"/>
  <c r="AL17" i="1"/>
  <c r="S17" i="1"/>
  <c r="S18" i="1"/>
  <c r="AG17" i="1"/>
  <c r="AG18" i="1"/>
  <c r="AJ17" i="1"/>
  <c r="AJ18" i="1"/>
  <c r="AD17" i="1"/>
  <c r="AD18" i="1"/>
  <c r="X18" i="1"/>
  <c r="AH17" i="1"/>
  <c r="AH18" i="1"/>
  <c r="J14" i="1"/>
  <c r="Q34" i="1"/>
  <c r="U34" i="1"/>
  <c r="Y34" i="1"/>
  <c r="AC34" i="1"/>
  <c r="AG34" i="1"/>
  <c r="AK34" i="1"/>
  <c r="J15" i="1"/>
  <c r="R34" i="1"/>
  <c r="V34" i="1"/>
  <c r="Z34" i="1"/>
  <c r="AD34" i="1"/>
  <c r="AH34" i="1"/>
  <c r="AL34" i="1"/>
  <c r="X34" i="1"/>
  <c r="AF34" i="1"/>
  <c r="S34" i="1"/>
  <c r="AA34" i="1"/>
  <c r="AI34" i="1"/>
  <c r="T34" i="1"/>
  <c r="AB34" i="1"/>
  <c r="AJ34" i="1"/>
  <c r="W34" i="1"/>
  <c r="AE34" i="1"/>
  <c r="AM34" i="1"/>
  <c r="P34" i="1"/>
  <c r="L24" i="1"/>
  <c r="M24" i="1" s="1"/>
  <c r="N24" i="1" s="1"/>
  <c r="I24" i="1"/>
  <c r="I25" i="1"/>
  <c r="L25" i="1"/>
  <c r="M25" i="1" s="1"/>
  <c r="N25" i="1" s="1"/>
  <c r="AP6" i="1" l="1"/>
  <c r="AR6" i="1" s="1"/>
  <c r="AP5" i="1"/>
  <c r="AR5" i="1" s="1"/>
  <c r="AN18" i="1"/>
  <c r="L14" i="1"/>
  <c r="M14" i="1" s="1"/>
  <c r="N14" i="1" s="1"/>
  <c r="I14" i="1"/>
  <c r="I15" i="1"/>
  <c r="L15" i="1"/>
  <c r="M15" i="1" s="1"/>
  <c r="N15" i="1" s="1"/>
  <c r="I23" i="1"/>
  <c r="J23" i="1"/>
  <c r="N35" i="1"/>
  <c r="T33" i="1" l="1"/>
  <c r="AJ33" i="1"/>
  <c r="AK33" i="1"/>
  <c r="AA33" i="1"/>
  <c r="W33" i="1"/>
  <c r="Y33" i="1"/>
  <c r="AB33" i="1"/>
  <c r="Z33" i="1"/>
  <c r="Q33" i="1"/>
  <c r="AL33" i="1"/>
  <c r="AH33" i="1"/>
  <c r="AI33" i="1"/>
  <c r="AE33" i="1"/>
  <c r="V33" i="1"/>
  <c r="AM33" i="1"/>
  <c r="S33" i="1"/>
  <c r="X33" i="1"/>
  <c r="U33" i="1"/>
  <c r="P33" i="1"/>
  <c r="AG33" i="1"/>
  <c r="AC33" i="1"/>
  <c r="AD33" i="1"/>
  <c r="AF33" i="1"/>
  <c r="R33" i="1"/>
  <c r="J13" i="1"/>
  <c r="AE32" i="1"/>
  <c r="V32" i="1"/>
  <c r="R32" i="1"/>
  <c r="T32" i="1"/>
  <c r="Z32" i="1"/>
  <c r="P32" i="1"/>
  <c r="W32" i="1"/>
  <c r="AM32" i="1"/>
  <c r="AG32" i="1"/>
  <c r="AC32" i="1"/>
  <c r="AD32" i="1"/>
  <c r="AK32" i="1"/>
  <c r="Q32" i="1"/>
  <c r="AH32" i="1"/>
  <c r="U32" i="1"/>
  <c r="S32" i="1"/>
  <c r="AI32" i="1"/>
  <c r="AB32" i="1"/>
  <c r="X32" i="1"/>
  <c r="Y32" i="1"/>
  <c r="AF32" i="1"/>
  <c r="AA32" i="1"/>
  <c r="AL32" i="1"/>
  <c r="AJ32" i="1"/>
  <c r="L13" i="1" l="1"/>
  <c r="M13" i="1" s="1"/>
  <c r="N13" i="1" s="1"/>
  <c r="I13" i="1"/>
  <c r="J12" i="1" l="1"/>
  <c r="AD31" i="1"/>
  <c r="X31" i="1"/>
  <c r="Y31" i="1"/>
  <c r="AA31" i="1"/>
  <c r="AB31" i="1"/>
  <c r="W31" i="1"/>
  <c r="V31" i="1"/>
  <c r="AI31" i="1"/>
  <c r="AK31" i="1"/>
  <c r="S31" i="1"/>
  <c r="U31" i="1"/>
  <c r="AM31" i="1"/>
  <c r="R31" i="1"/>
  <c r="AH31" i="1"/>
  <c r="AC31" i="1"/>
  <c r="AE31" i="1"/>
  <c r="AF31" i="1"/>
  <c r="AG31" i="1"/>
  <c r="AL31" i="1"/>
  <c r="AJ31" i="1"/>
  <c r="Q31" i="1"/>
  <c r="Z31" i="1"/>
  <c r="T31" i="1"/>
  <c r="P31" i="1"/>
  <c r="I12" i="1" l="1"/>
  <c r="L12" i="1"/>
  <c r="M12" i="1" s="1"/>
  <c r="N12" i="1" s="1"/>
  <c r="U30" i="1" l="1"/>
  <c r="AK30" i="1"/>
  <c r="AE30" i="1"/>
  <c r="AF30" i="1"/>
  <c r="AB30" i="1"/>
  <c r="AI30" i="1"/>
  <c r="J10" i="1"/>
  <c r="AC30" i="1"/>
  <c r="V30" i="1"/>
  <c r="AM30" i="1"/>
  <c r="AG30" i="1"/>
  <c r="AA30" i="1"/>
  <c r="AD30" i="1"/>
  <c r="J11" i="1"/>
  <c r="Y30" i="1"/>
  <c r="P30" i="1"/>
  <c r="AJ30" i="1"/>
  <c r="AL30" i="1"/>
  <c r="AH30" i="1"/>
  <c r="S30" i="1"/>
  <c r="T30" i="1"/>
  <c r="R30" i="1"/>
  <c r="X30" i="1"/>
  <c r="Q30" i="1"/>
  <c r="Z30" i="1"/>
  <c r="W30" i="1"/>
  <c r="I10" i="1" l="1"/>
  <c r="L10" i="1"/>
  <c r="M10" i="1" s="1"/>
  <c r="N10" i="1" s="1"/>
  <c r="I11" i="1"/>
  <c r="L11" i="1"/>
  <c r="M11" i="1" s="1"/>
  <c r="N11" i="1" s="1"/>
  <c r="AB29" i="1" l="1"/>
  <c r="V29" i="1"/>
  <c r="R29" i="1"/>
  <c r="AM29" i="1"/>
  <c r="AD29" i="1"/>
  <c r="U29" i="1"/>
  <c r="T29" i="1"/>
  <c r="AJ29" i="1"/>
  <c r="AG29" i="1"/>
  <c r="AC29" i="1"/>
  <c r="AE29" i="1"/>
  <c r="X29" i="1"/>
  <c r="AL29" i="1"/>
  <c r="Y29" i="1"/>
  <c r="J9" i="1"/>
  <c r="AF29" i="1"/>
  <c r="AA29" i="1"/>
  <c r="W29" i="1"/>
  <c r="P29" i="1"/>
  <c r="AI29" i="1"/>
  <c r="Z29" i="1"/>
  <c r="S29" i="1"/>
  <c r="Q29" i="1"/>
  <c r="AH29" i="1"/>
  <c r="AK29" i="1"/>
  <c r="W28" i="1"/>
  <c r="AM28" i="1"/>
  <c r="U28" i="1"/>
  <c r="R28" i="1"/>
  <c r="Q28" i="1"/>
  <c r="AG28" i="1"/>
  <c r="AA28" i="1"/>
  <c r="AC28" i="1"/>
  <c r="Y28" i="1"/>
  <c r="AE28" i="1"/>
  <c r="AH28" i="1"/>
  <c r="AF28" i="1"/>
  <c r="S28" i="1"/>
  <c r="AB28" i="1"/>
  <c r="AJ28" i="1"/>
  <c r="AK28" i="1"/>
  <c r="T28" i="1"/>
  <c r="V28" i="1"/>
  <c r="AL28" i="1"/>
  <c r="J8" i="1"/>
  <c r="X28" i="1"/>
  <c r="AD28" i="1"/>
  <c r="Z28" i="1"/>
  <c r="AI28" i="1"/>
  <c r="P28" i="1"/>
  <c r="L9" i="1" l="1"/>
  <c r="M9" i="1" s="1"/>
  <c r="N9" i="1" s="1"/>
  <c r="I9" i="1"/>
  <c r="L8" i="1"/>
  <c r="M8" i="1" s="1"/>
  <c r="N8" i="1" s="1"/>
  <c r="I8" i="1"/>
  <c r="V27" i="1" l="1"/>
  <c r="AL27" i="1"/>
  <c r="AE27" i="1"/>
  <c r="AB27" i="1"/>
  <c r="AC27" i="1"/>
  <c r="Q27" i="1"/>
  <c r="Z27" i="1"/>
  <c r="S27" i="1"/>
  <c r="AI27" i="1"/>
  <c r="AK27" i="1"/>
  <c r="AG27" i="1"/>
  <c r="J7" i="1"/>
  <c r="W27" i="1"/>
  <c r="AM27" i="1"/>
  <c r="X27" i="1"/>
  <c r="AH27" i="1"/>
  <c r="T27" i="1"/>
  <c r="AF27" i="1"/>
  <c r="AJ27" i="1"/>
  <c r="AD27" i="1"/>
  <c r="Y27" i="1"/>
  <c r="P27" i="1"/>
  <c r="R27" i="1"/>
  <c r="AA27" i="1"/>
  <c r="U27" i="1"/>
  <c r="Q26" i="1"/>
  <c r="AG26" i="1"/>
  <c r="V26" i="1"/>
  <c r="AL26" i="1"/>
  <c r="X26" i="1"/>
  <c r="W26" i="1"/>
  <c r="U26" i="1"/>
  <c r="Z26" i="1"/>
  <c r="S26" i="1"/>
  <c r="T26" i="1"/>
  <c r="AE26" i="1"/>
  <c r="Y26" i="1"/>
  <c r="P26" i="1"/>
  <c r="AA26" i="1"/>
  <c r="AM26" i="1"/>
  <c r="AC26" i="1"/>
  <c r="AH26" i="1"/>
  <c r="AJ26" i="1"/>
  <c r="AK26" i="1"/>
  <c r="AD26" i="1"/>
  <c r="AB26" i="1"/>
  <c r="J6" i="1"/>
  <c r="R26" i="1"/>
  <c r="AI26" i="1"/>
  <c r="AF26" i="1"/>
  <c r="I7" i="1" l="1"/>
  <c r="L7" i="1"/>
  <c r="M7" i="1" s="1"/>
  <c r="N7" i="1" s="1"/>
  <c r="I6" i="1"/>
  <c r="L6" i="1"/>
  <c r="M6" i="1" s="1"/>
  <c r="N6" i="1" s="1"/>
  <c r="N17" i="1" s="1"/>
  <c r="S24" i="1" l="1"/>
  <c r="AI24" i="1"/>
  <c r="AB24" i="1"/>
  <c r="Y24" i="1"/>
  <c r="Z24" i="1"/>
  <c r="AK24" i="1"/>
  <c r="AF24" i="1"/>
  <c r="AH24" i="1"/>
  <c r="I5" i="1"/>
  <c r="AA24" i="1"/>
  <c r="AJ24" i="1"/>
  <c r="U24" i="1"/>
  <c r="J5" i="1"/>
  <c r="AE24" i="1"/>
  <c r="X24" i="1"/>
  <c r="R24" i="1"/>
  <c r="AL24" i="1"/>
  <c r="W24" i="1"/>
  <c r="AM24" i="1"/>
  <c r="AG24" i="1"/>
  <c r="P24" i="1"/>
  <c r="T24" i="1"/>
  <c r="AD24" i="1"/>
  <c r="V24" i="1"/>
  <c r="Q24" i="1"/>
  <c r="AC24" i="1"/>
  <c r="AB25" i="1"/>
  <c r="U25" i="1"/>
  <c r="AK25" i="1"/>
  <c r="AE25" i="1"/>
  <c r="V25" i="1"/>
  <c r="W25" i="1"/>
  <c r="AL25" i="1"/>
  <c r="Q25" i="1"/>
  <c r="AH25" i="1"/>
  <c r="P25" i="1"/>
  <c r="AF25" i="1"/>
  <c r="Y25" i="1"/>
  <c r="R25" i="1"/>
  <c r="S25" i="1"/>
  <c r="AD25" i="1"/>
  <c r="AM25" i="1"/>
  <c r="T25" i="1"/>
  <c r="AJ25" i="1"/>
  <c r="AC25" i="1"/>
  <c r="Z25" i="1"/>
  <c r="AA25" i="1"/>
  <c r="X25" i="1"/>
  <c r="AG25" i="1"/>
  <c r="AI25" i="1"/>
  <c r="AG36" i="1" l="1"/>
  <c r="AG35" i="1"/>
  <c r="U36" i="1"/>
  <c r="U35" i="1"/>
  <c r="Y36" i="1"/>
  <c r="Y35" i="1"/>
  <c r="AM36" i="1"/>
  <c r="AM35" i="1"/>
  <c r="AJ36" i="1"/>
  <c r="AJ35" i="1"/>
  <c r="AF36" i="1"/>
  <c r="AF35" i="1"/>
  <c r="AC36" i="1"/>
  <c r="AC35" i="1"/>
  <c r="T36" i="1"/>
  <c r="T35" i="1"/>
  <c r="W36" i="1"/>
  <c r="W35" i="1"/>
  <c r="AE36" i="1"/>
  <c r="AE35" i="1"/>
  <c r="AA36" i="1"/>
  <c r="AA35" i="1"/>
  <c r="AK36" i="1"/>
  <c r="AK35" i="1"/>
  <c r="AI36" i="1"/>
  <c r="AI35" i="1"/>
  <c r="V36" i="1"/>
  <c r="V35" i="1"/>
  <c r="R36" i="1"/>
  <c r="R35" i="1"/>
  <c r="AH36" i="1"/>
  <c r="AH35" i="1"/>
  <c r="AD36" i="1"/>
  <c r="AD35" i="1"/>
  <c r="X36" i="1"/>
  <c r="X35" i="1"/>
  <c r="AB36" i="1"/>
  <c r="AB35" i="1"/>
  <c r="Q36" i="1"/>
  <c r="Q35" i="1"/>
  <c r="P36" i="1"/>
  <c r="P35" i="1"/>
  <c r="AL36" i="1"/>
  <c r="AL35" i="1"/>
  <c r="Z36" i="1"/>
  <c r="Z35" i="1"/>
  <c r="S36" i="1"/>
  <c r="S35" i="1"/>
  <c r="AP25" i="1" l="1"/>
  <c r="AR25" i="1" s="1"/>
  <c r="AP24" i="1"/>
  <c r="AR24" i="1" s="1"/>
  <c r="AN36" i="1"/>
</calcChain>
</file>

<file path=xl/sharedStrings.xml><?xml version="1.0" encoding="utf-8"?>
<sst xmlns="http://schemas.openxmlformats.org/spreadsheetml/2006/main" count="96" uniqueCount="41">
  <si>
    <t>Per la produzione di un nuovo prodotto sono state individuate le seguenti attività con relativi tempi di completamento</t>
  </si>
  <si>
    <t>Attività</t>
  </si>
  <si>
    <t>Descrizione</t>
  </si>
  <si>
    <t>Predecessori</t>
  </si>
  <si>
    <t>Durata</t>
  </si>
  <si>
    <t>Disegno del prodotto</t>
  </si>
  <si>
    <t>Disegno della confezione</t>
  </si>
  <si>
    <t>Ordine e ricezione dei materiali per prodotto</t>
  </si>
  <si>
    <t>Ordine e ricezione dei materiali per confezione</t>
  </si>
  <si>
    <t>Assemblaggio dei prodotti</t>
  </si>
  <si>
    <t>Preparazione delle Confezioni</t>
  </si>
  <si>
    <t>Impacchettamento dei prodotti</t>
  </si>
  <si>
    <t>Test di mercato del prodotto</t>
  </si>
  <si>
    <t>Revisione del prodotto</t>
  </si>
  <si>
    <t>Revisione della confezione</t>
  </si>
  <si>
    <t>Presentazione dei risultati al CdA</t>
  </si>
  <si>
    <t>5-6</t>
  </si>
  <si>
    <t>7</t>
  </si>
  <si>
    <t>8</t>
  </si>
  <si>
    <t>9-10</t>
  </si>
  <si>
    <t>\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</si>
  <si>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Costruire il grafo delle dipendenze con predecessori e durata</t>
    </r>
    <r>
      <rPr>
        <b/>
        <sz val="12"/>
        <color theme="1"/>
        <rFont val="Times New Roman"/>
        <family val="1"/>
      </rPr>
      <t>;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</si>
  <si>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Schedulazione  con  CPM  “al più presto” e  “al più tardi” ;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</si>
  <si>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Scorrimento, Critical Path e durata progetto 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</si>
  <si>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Costruire il diagramma di Gantt delle due tecniche   </t>
    </r>
  </si>
  <si>
    <t>Inizio</t>
  </si>
  <si>
    <t>Fine</t>
  </si>
  <si>
    <t>DATA_INIZIO</t>
  </si>
  <si>
    <t>*</t>
  </si>
  <si>
    <t>Nodo Fittizio</t>
  </si>
  <si>
    <t>Al più presto</t>
  </si>
  <si>
    <t>Al più tardi</t>
  </si>
  <si>
    <t>Scorrimento</t>
  </si>
  <si>
    <t>Critiche</t>
  </si>
  <si>
    <t>gg</t>
  </si>
  <si>
    <t>Durata=</t>
  </si>
  <si>
    <t>H. R.</t>
  </si>
  <si>
    <t>Costi P. U.</t>
  </si>
  <si>
    <t>MAX</t>
  </si>
  <si>
    <t>MIN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</si>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</sst>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\-mmm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 vertical="center" indent="8"/>
    </xf>
    <xf numFmtId="0" fontId="0" fillId="0" borderId="2" xfId="0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4" borderId="4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27"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00"/>
      <color rgb="FFF035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490104</xdr:colOff>
      <xdr:row>46</xdr:row>
      <xdr:rowOff>39832</xdr:rowOff>
    </xdr:from>
    <xdr:to>
      <xdr:col>3</xdr:col>
      <xdr:colOff>419100</xdr:colOff>
      <xdr:row>50</xdr:row>
      <xdr:rowOff>11257</xdr:rowOff>
    </xdr:to>
    <xdr:sp macro="" textlink="">
      <xdr:nvSpPr>
        <xdr:cNvPr id="4" name="Ova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H="1">
          <a:off x="4204854" y="8802832"/>
          <a:ext cx="767196" cy="733425"/>
        </a:xfrm>
        <a:prstGeom prst="ellips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</xdr:col>
      <xdr:colOff>1961590</xdr:colOff>
      <xdr:row>52</xdr:row>
      <xdr:rowOff>120463</xdr:rowOff>
    </xdr:from>
    <xdr:to>
      <xdr:col>1</xdr:col>
      <xdr:colOff>2771216</xdr:colOff>
      <xdr:row>56</xdr:row>
      <xdr:rowOff>142977</xdr:rowOff>
    </xdr:to>
    <xdr:sp macro="" textlink="">
      <xdr:nvSpPr>
        <xdr:cNvPr id="13" name="Ova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790825" y="10026463"/>
          <a:ext cx="809626" cy="784514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*</a:t>
          </a:r>
        </a:p>
        <a:p>
          <a:pPr algn="ctr"/>
          <a:endParaRPr lang="it-IT" sz="2800"/>
        </a:p>
      </xdr:txBody>
    </xdr:sp>
    <xdr:clientData/>
  </xdr:twoCellAnchor>
  <xdr:twoCellAnchor>
    <xdr:from>
      <xdr:col>2</xdr:col>
      <xdr:colOff>247650</xdr:colOff>
      <xdr:row>58</xdr:row>
      <xdr:rowOff>161059</xdr:rowOff>
    </xdr:from>
    <xdr:to>
      <xdr:col>3</xdr:col>
      <xdr:colOff>166255</xdr:colOff>
      <xdr:row>62</xdr:row>
      <xdr:rowOff>132484</xdr:rowOff>
    </xdr:to>
    <xdr:sp macro="" textlink="">
      <xdr:nvSpPr>
        <xdr:cNvPr id="14" name="Ova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962400" y="11210059"/>
          <a:ext cx="756805" cy="733425"/>
        </a:xfrm>
        <a:prstGeom prst="ellips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55266</xdr:colOff>
      <xdr:row>50</xdr:row>
      <xdr:rowOff>187036</xdr:rowOff>
    </xdr:from>
    <xdr:to>
      <xdr:col>10</xdr:col>
      <xdr:colOff>83842</xdr:colOff>
      <xdr:row>55</xdr:row>
      <xdr:rowOff>19050</xdr:rowOff>
    </xdr:to>
    <xdr:sp macro="" textlink="">
      <xdr:nvSpPr>
        <xdr:cNvPr id="15" name="Ova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143237" y="9712036"/>
          <a:ext cx="779370" cy="784514"/>
        </a:xfrm>
        <a:prstGeom prst="ellipse">
          <a:avLst/>
        </a:prstGeom>
        <a:solidFill>
          <a:srgbClr val="0070C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4</xdr:col>
      <xdr:colOff>731693</xdr:colOff>
      <xdr:row>46</xdr:row>
      <xdr:rowOff>51088</xdr:rowOff>
    </xdr:from>
    <xdr:to>
      <xdr:col>6</xdr:col>
      <xdr:colOff>14720</xdr:colOff>
      <xdr:row>50</xdr:row>
      <xdr:rowOff>22513</xdr:rowOff>
    </xdr:to>
    <xdr:sp macro="" textlink="">
      <xdr:nvSpPr>
        <xdr:cNvPr id="16" name="Ova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056168" y="8814088"/>
          <a:ext cx="721302" cy="733425"/>
        </a:xfrm>
        <a:prstGeom prst="ellipse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4</xdr:col>
      <xdr:colOff>537730</xdr:colOff>
      <xdr:row>58</xdr:row>
      <xdr:rowOff>181841</xdr:rowOff>
    </xdr:from>
    <xdr:to>
      <xdr:col>5</xdr:col>
      <xdr:colOff>466725</xdr:colOff>
      <xdr:row>62</xdr:row>
      <xdr:rowOff>153266</xdr:rowOff>
    </xdr:to>
    <xdr:sp macro="" textlink="">
      <xdr:nvSpPr>
        <xdr:cNvPr id="17" name="Ova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862205" y="11230841"/>
          <a:ext cx="757670" cy="733425"/>
        </a:xfrm>
        <a:prstGeom prst="ellipse">
          <a:avLst/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12</xdr:col>
      <xdr:colOff>23686</xdr:colOff>
      <xdr:row>51</xdr:row>
      <xdr:rowOff>26079</xdr:rowOff>
    </xdr:from>
    <xdr:to>
      <xdr:col>12</xdr:col>
      <xdr:colOff>814975</xdr:colOff>
      <xdr:row>54</xdr:row>
      <xdr:rowOff>170686</xdr:rowOff>
    </xdr:to>
    <xdr:sp macro="" textlink="">
      <xdr:nvSpPr>
        <xdr:cNvPr id="18" name="Ova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1263186" y="9741579"/>
          <a:ext cx="791289" cy="716107"/>
        </a:xfrm>
        <a:prstGeom prst="ellipse">
          <a:avLst/>
        </a:prstGeom>
        <a:solidFill>
          <a:srgbClr val="00206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/>
            <a:t>8</a:t>
          </a:r>
        </a:p>
        <a:p>
          <a:pPr algn="ctr"/>
          <a:endParaRPr lang="it-IT" sz="2800"/>
        </a:p>
      </xdr:txBody>
    </xdr:sp>
    <xdr:clientData/>
  </xdr:twoCellAnchor>
  <xdr:twoCellAnchor>
    <xdr:from>
      <xdr:col>17</xdr:col>
      <xdr:colOff>566460</xdr:colOff>
      <xdr:row>51</xdr:row>
      <xdr:rowOff>47880</xdr:rowOff>
    </xdr:from>
    <xdr:to>
      <xdr:col>19</xdr:col>
      <xdr:colOff>72179</xdr:colOff>
      <xdr:row>55</xdr:row>
      <xdr:rowOff>1987</xdr:rowOff>
    </xdr:to>
    <xdr:sp macro="" textlink="">
      <xdr:nvSpPr>
        <xdr:cNvPr id="19" name="Ova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5066872" y="9763380"/>
          <a:ext cx="715954" cy="716107"/>
        </a:xfrm>
        <a:prstGeom prst="ellipse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400"/>
            <a:t>11</a:t>
          </a:r>
        </a:p>
      </xdr:txBody>
    </xdr:sp>
    <xdr:clientData/>
  </xdr:twoCellAnchor>
  <xdr:twoCellAnchor>
    <xdr:from>
      <xdr:col>7</xdr:col>
      <xdr:colOff>62346</xdr:colOff>
      <xdr:row>58</xdr:row>
      <xdr:rowOff>147204</xdr:rowOff>
    </xdr:from>
    <xdr:to>
      <xdr:col>8</xdr:col>
      <xdr:colOff>44162</xdr:colOff>
      <xdr:row>62</xdr:row>
      <xdr:rowOff>118629</xdr:rowOff>
    </xdr:to>
    <xdr:sp macro="" textlink="">
      <xdr:nvSpPr>
        <xdr:cNvPr id="20" name="Ova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7387937" y="11265477"/>
          <a:ext cx="726498" cy="733425"/>
        </a:xfrm>
        <a:prstGeom prst="ellipse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14</xdr:col>
      <xdr:colOff>452973</xdr:colOff>
      <xdr:row>46</xdr:row>
      <xdr:rowOff>95556</xdr:rowOff>
    </xdr:from>
    <xdr:to>
      <xdr:col>16</xdr:col>
      <xdr:colOff>18287</xdr:colOff>
      <xdr:row>50</xdr:row>
      <xdr:rowOff>66981</xdr:rowOff>
    </xdr:to>
    <xdr:sp macro="" textlink="">
      <xdr:nvSpPr>
        <xdr:cNvPr id="21" name="Ova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138032" y="8858556"/>
          <a:ext cx="775549" cy="733425"/>
        </a:xfrm>
        <a:prstGeom prst="ellipse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/>
            <a:t>9</a:t>
          </a:r>
        </a:p>
      </xdr:txBody>
    </xdr:sp>
    <xdr:clientData/>
  </xdr:twoCellAnchor>
  <xdr:twoCellAnchor>
    <xdr:from>
      <xdr:col>14</xdr:col>
      <xdr:colOff>553521</xdr:colOff>
      <xdr:row>56</xdr:row>
      <xdr:rowOff>143079</xdr:rowOff>
    </xdr:from>
    <xdr:to>
      <xdr:col>16</xdr:col>
      <xdr:colOff>118835</xdr:colOff>
      <xdr:row>60</xdr:row>
      <xdr:rowOff>106711</xdr:rowOff>
    </xdr:to>
    <xdr:sp macro="" textlink="">
      <xdr:nvSpPr>
        <xdr:cNvPr id="22" name="Ova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3171345" y="10811079"/>
          <a:ext cx="775549" cy="725632"/>
        </a:xfrm>
        <a:prstGeom prst="ellipse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400"/>
            <a:t>10</a:t>
          </a:r>
        </a:p>
      </xdr:txBody>
    </xdr:sp>
    <xdr:clientData/>
  </xdr:twoCellAnchor>
  <xdr:twoCellAnchor>
    <xdr:from>
      <xdr:col>7</xdr:col>
      <xdr:colOff>54553</xdr:colOff>
      <xdr:row>46</xdr:row>
      <xdr:rowOff>37234</xdr:rowOff>
    </xdr:from>
    <xdr:to>
      <xdr:col>8</xdr:col>
      <xdr:colOff>36369</xdr:colOff>
      <xdr:row>50</xdr:row>
      <xdr:rowOff>8659</xdr:rowOff>
    </xdr:to>
    <xdr:sp macro="" textlink="">
      <xdr:nvSpPr>
        <xdr:cNvPr id="23" name="Ova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7569778" y="8800234"/>
          <a:ext cx="734291" cy="733425"/>
        </a:xfrm>
        <a:prstGeom prst="ellipse">
          <a:avLst/>
        </a:prstGeom>
        <a:solidFill>
          <a:srgbClr val="00B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t-IT" sz="2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</xdr:col>
      <xdr:colOff>2652649</xdr:colOff>
      <xdr:row>48</xdr:row>
      <xdr:rowOff>25545</xdr:rowOff>
    </xdr:from>
    <xdr:to>
      <xdr:col>2</xdr:col>
      <xdr:colOff>490104</xdr:colOff>
      <xdr:row>53</xdr:row>
      <xdr:rowOff>44852</xdr:rowOff>
    </xdr:to>
    <xdr:cxnSp macro="">
      <xdr:nvCxnSpPr>
        <xdr:cNvPr id="25" name="Connettore 2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13" idx="7"/>
          <a:endCxn id="4" idx="6"/>
        </xdr:cNvCxnSpPr>
      </xdr:nvCxnSpPr>
      <xdr:spPr>
        <a:xfrm flipV="1">
          <a:off x="3481884" y="9169545"/>
          <a:ext cx="795808" cy="97180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2652649</xdr:colOff>
      <xdr:row>56</xdr:row>
      <xdr:rowOff>28088</xdr:rowOff>
    </xdr:from>
    <xdr:to>
      <xdr:col>2</xdr:col>
      <xdr:colOff>358810</xdr:colOff>
      <xdr:row>59</xdr:row>
      <xdr:rowOff>77967</xdr:rowOff>
    </xdr:to>
    <xdr:cxnSp macro="">
      <xdr:nvCxnSpPr>
        <xdr:cNvPr id="27" name="Connettore 2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13" idx="5"/>
          <a:endCxn id="14" idx="1"/>
        </xdr:cNvCxnSpPr>
      </xdr:nvCxnSpPr>
      <xdr:spPr>
        <a:xfrm>
          <a:off x="3481884" y="10696088"/>
          <a:ext cx="664514" cy="6213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166255</xdr:colOff>
      <xdr:row>60</xdr:row>
      <xdr:rowOff>146772</xdr:rowOff>
    </xdr:from>
    <xdr:to>
      <xdr:col>4</xdr:col>
      <xdr:colOff>537730</xdr:colOff>
      <xdr:row>60</xdr:row>
      <xdr:rowOff>167554</xdr:rowOff>
    </xdr:to>
    <xdr:cxnSp macro="">
      <xdr:nvCxnSpPr>
        <xdr:cNvPr id="31" name="Connettore 2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14" idx="6"/>
          <a:endCxn id="17" idx="2"/>
        </xdr:cNvCxnSpPr>
      </xdr:nvCxnSpPr>
      <xdr:spPr>
        <a:xfrm>
          <a:off x="4719205" y="11576772"/>
          <a:ext cx="1143000" cy="20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14720</xdr:colOff>
      <xdr:row>48</xdr:row>
      <xdr:rowOff>22947</xdr:rowOff>
    </xdr:from>
    <xdr:to>
      <xdr:col>7</xdr:col>
      <xdr:colOff>54553</xdr:colOff>
      <xdr:row>48</xdr:row>
      <xdr:rowOff>36801</xdr:rowOff>
    </xdr:to>
    <xdr:cxnSp macro="">
      <xdr:nvCxnSpPr>
        <xdr:cNvPr id="33" name="Connettore 2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stCxn id="16" idx="6"/>
          <a:endCxn id="23" idx="2"/>
        </xdr:cNvCxnSpPr>
      </xdr:nvCxnSpPr>
      <xdr:spPr>
        <a:xfrm flipV="1">
          <a:off x="6777470" y="9166947"/>
          <a:ext cx="792308" cy="138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60</xdr:row>
      <xdr:rowOff>132917</xdr:rowOff>
    </xdr:from>
    <xdr:to>
      <xdr:col>7</xdr:col>
      <xdr:colOff>62346</xdr:colOff>
      <xdr:row>60</xdr:row>
      <xdr:rowOff>167554</xdr:rowOff>
    </xdr:to>
    <xdr:cxnSp macro="">
      <xdr:nvCxnSpPr>
        <xdr:cNvPr id="35" name="Connettore 2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17" idx="6"/>
          <a:endCxn id="20" idx="2"/>
        </xdr:cNvCxnSpPr>
      </xdr:nvCxnSpPr>
      <xdr:spPr>
        <a:xfrm flipV="1">
          <a:off x="6619875" y="11562917"/>
          <a:ext cx="957696" cy="346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687668</xdr:colOff>
      <xdr:row>54</xdr:row>
      <xdr:rowOff>94661</xdr:rowOff>
    </xdr:from>
    <xdr:to>
      <xdr:col>9</xdr:col>
      <xdr:colOff>169402</xdr:colOff>
      <xdr:row>59</xdr:row>
      <xdr:rowOff>64112</xdr:rowOff>
    </xdr:to>
    <xdr:cxnSp macro="">
      <xdr:nvCxnSpPr>
        <xdr:cNvPr id="39" name="Connettore 2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20" idx="7"/>
          <a:endCxn id="15" idx="3"/>
        </xdr:cNvCxnSpPr>
      </xdr:nvCxnSpPr>
      <xdr:spPr>
        <a:xfrm flipV="1">
          <a:off x="8274050" y="10381661"/>
          <a:ext cx="983323" cy="9219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83842</xdr:colOff>
      <xdr:row>53</xdr:row>
      <xdr:rowOff>3133</xdr:rowOff>
    </xdr:from>
    <xdr:to>
      <xdr:col>12</xdr:col>
      <xdr:colOff>23686</xdr:colOff>
      <xdr:row>53</xdr:row>
      <xdr:rowOff>7793</xdr:rowOff>
    </xdr:to>
    <xdr:cxnSp macro="">
      <xdr:nvCxnSpPr>
        <xdr:cNvPr id="41" name="Connettore 2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>
          <a:stCxn id="15" idx="6"/>
          <a:endCxn id="18" idx="2"/>
        </xdr:cNvCxnSpPr>
      </xdr:nvCxnSpPr>
      <xdr:spPr>
        <a:xfrm flipV="1">
          <a:off x="9922607" y="10099633"/>
          <a:ext cx="1340579" cy="4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699093</xdr:colOff>
      <xdr:row>48</xdr:row>
      <xdr:rowOff>81269</xdr:rowOff>
    </xdr:from>
    <xdr:to>
      <xdr:col>14</xdr:col>
      <xdr:colOff>452973</xdr:colOff>
      <xdr:row>51</xdr:row>
      <xdr:rowOff>130950</xdr:rowOff>
    </xdr:to>
    <xdr:cxnSp macro="">
      <xdr:nvCxnSpPr>
        <xdr:cNvPr id="43" name="Connettore 2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>
          <a:stCxn id="18" idx="7"/>
          <a:endCxn id="21" idx="2"/>
        </xdr:cNvCxnSpPr>
      </xdr:nvCxnSpPr>
      <xdr:spPr>
        <a:xfrm flipV="1">
          <a:off x="11938593" y="9225269"/>
          <a:ext cx="1199439" cy="6211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699093</xdr:colOff>
      <xdr:row>54</xdr:row>
      <xdr:rowOff>65815</xdr:rowOff>
    </xdr:from>
    <xdr:to>
      <xdr:col>14</xdr:col>
      <xdr:colOff>553521</xdr:colOff>
      <xdr:row>58</xdr:row>
      <xdr:rowOff>124895</xdr:rowOff>
    </xdr:to>
    <xdr:cxnSp macro="">
      <xdr:nvCxnSpPr>
        <xdr:cNvPr id="45" name="Connettore 2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stCxn id="18" idx="5"/>
          <a:endCxn id="22" idx="2"/>
        </xdr:cNvCxnSpPr>
      </xdr:nvCxnSpPr>
      <xdr:spPr>
        <a:xfrm>
          <a:off x="11938593" y="10352815"/>
          <a:ext cx="1299987" cy="821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18287</xdr:colOff>
      <xdr:row>48</xdr:row>
      <xdr:rowOff>81269</xdr:rowOff>
    </xdr:from>
    <xdr:to>
      <xdr:col>18</xdr:col>
      <xdr:colOff>66192</xdr:colOff>
      <xdr:row>51</xdr:row>
      <xdr:rowOff>152751</xdr:rowOff>
    </xdr:to>
    <xdr:cxnSp macro="">
      <xdr:nvCxnSpPr>
        <xdr:cNvPr id="47" name="Connettore 2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stCxn id="21" idx="6"/>
          <a:endCxn id="19" idx="1"/>
        </xdr:cNvCxnSpPr>
      </xdr:nvCxnSpPr>
      <xdr:spPr>
        <a:xfrm>
          <a:off x="13913581" y="9225269"/>
          <a:ext cx="1258140" cy="6429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118835</xdr:colOff>
      <xdr:row>54</xdr:row>
      <xdr:rowOff>87616</xdr:rowOff>
    </xdr:from>
    <xdr:to>
      <xdr:col>18</xdr:col>
      <xdr:colOff>66192</xdr:colOff>
      <xdr:row>58</xdr:row>
      <xdr:rowOff>124895</xdr:rowOff>
    </xdr:to>
    <xdr:cxnSp macro="">
      <xdr:nvCxnSpPr>
        <xdr:cNvPr id="50" name="Connettore 2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22" idx="6"/>
          <a:endCxn id="19" idx="3"/>
        </xdr:cNvCxnSpPr>
      </xdr:nvCxnSpPr>
      <xdr:spPr>
        <a:xfrm flipV="1">
          <a:off x="14014129" y="10374616"/>
          <a:ext cx="1157592" cy="7992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1961233</xdr:colOff>
      <xdr:row>57</xdr:row>
      <xdr:rowOff>8556</xdr:rowOff>
    </xdr:from>
    <xdr:ext cx="571247" cy="374141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90468" y="10867056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0 gg</a:t>
          </a:r>
        </a:p>
      </xdr:txBody>
    </xdr:sp>
    <xdr:clientData/>
  </xdr:oneCellAnchor>
  <xdr:oneCellAnchor>
    <xdr:from>
      <xdr:col>2</xdr:col>
      <xdr:colOff>574963</xdr:colOff>
      <xdr:row>44</xdr:row>
      <xdr:rowOff>28574</xdr:rowOff>
    </xdr:from>
    <xdr:ext cx="571247" cy="374141"/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289713" y="8410574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6 gg</a:t>
          </a:r>
        </a:p>
      </xdr:txBody>
    </xdr:sp>
    <xdr:clientData/>
  </xdr:oneCellAnchor>
  <xdr:oneCellAnchor>
    <xdr:from>
      <xdr:col>18</xdr:col>
      <xdr:colOff>28423</xdr:colOff>
      <xdr:row>55</xdr:row>
      <xdr:rowOff>46961</xdr:rowOff>
    </xdr:from>
    <xdr:ext cx="571247" cy="374141"/>
    <xdr:sp macro="" textlink="">
      <xdr:nvSpPr>
        <xdr:cNvPr id="30" name="CasellaDiTes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5133952" y="10524461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1 gg</a:t>
          </a:r>
        </a:p>
      </xdr:txBody>
    </xdr:sp>
    <xdr:clientData/>
  </xdr:oneCellAnchor>
  <xdr:oneCellAnchor>
    <xdr:from>
      <xdr:col>14</xdr:col>
      <xdr:colOff>542379</xdr:colOff>
      <xdr:row>44</xdr:row>
      <xdr:rowOff>59565</xdr:rowOff>
    </xdr:from>
    <xdr:ext cx="571247" cy="374141"/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3227438" y="8441565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3 gg</a:t>
          </a:r>
        </a:p>
      </xdr:txBody>
    </xdr:sp>
    <xdr:clientData/>
  </xdr:oneCellAnchor>
  <xdr:oneCellAnchor>
    <xdr:from>
      <xdr:col>12</xdr:col>
      <xdr:colOff>147372</xdr:colOff>
      <xdr:row>55</xdr:row>
      <xdr:rowOff>40924</xdr:rowOff>
    </xdr:from>
    <xdr:ext cx="571247" cy="374141"/>
    <xdr:sp macro="" textlink="">
      <xdr:nvSpPr>
        <xdr:cNvPr id="34" name="CasellaDiTest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1386872" y="10518424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6 gg</a:t>
          </a:r>
        </a:p>
      </xdr:txBody>
    </xdr:sp>
    <xdr:clientData/>
  </xdr:oneCellAnchor>
  <xdr:oneCellAnchor>
    <xdr:from>
      <xdr:col>7</xdr:col>
      <xdr:colOff>303439</xdr:colOff>
      <xdr:row>44</xdr:row>
      <xdr:rowOff>47749</xdr:rowOff>
    </xdr:from>
    <xdr:ext cx="571247" cy="374141"/>
    <xdr:sp macro="" textlink="">
      <xdr:nvSpPr>
        <xdr:cNvPr id="36" name="CasellaDiTes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7818664" y="8429749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4 gg</a:t>
          </a:r>
        </a:p>
      </xdr:txBody>
    </xdr:sp>
    <xdr:clientData/>
  </xdr:oneCellAnchor>
  <xdr:oneCellAnchor>
    <xdr:from>
      <xdr:col>5</xdr:col>
      <xdr:colOff>30677</xdr:colOff>
      <xdr:row>44</xdr:row>
      <xdr:rowOff>48614</xdr:rowOff>
    </xdr:from>
    <xdr:ext cx="571247" cy="374141"/>
    <xdr:sp macro="" textlink="">
      <xdr:nvSpPr>
        <xdr:cNvPr id="38" name="CasellaDiTes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183827" y="8430614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3 gg</a:t>
          </a:r>
        </a:p>
      </xdr:txBody>
    </xdr:sp>
    <xdr:clientData/>
  </xdr:oneCellAnchor>
  <xdr:oneCellAnchor>
    <xdr:from>
      <xdr:col>15</xdr:col>
      <xdr:colOff>23648</xdr:colOff>
      <xdr:row>60</xdr:row>
      <xdr:rowOff>169128</xdr:rowOff>
    </xdr:from>
    <xdr:ext cx="571247" cy="374141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3246589" y="11599128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1 gg</a:t>
          </a:r>
        </a:p>
      </xdr:txBody>
    </xdr:sp>
    <xdr:clientData/>
  </xdr:oneCellAnchor>
  <xdr:oneCellAnchor>
    <xdr:from>
      <xdr:col>9</xdr:col>
      <xdr:colOff>179614</xdr:colOff>
      <xdr:row>55</xdr:row>
      <xdr:rowOff>20803</xdr:rowOff>
    </xdr:from>
    <xdr:ext cx="571247" cy="374141"/>
    <xdr:sp macro="" textlink="">
      <xdr:nvSpPr>
        <xdr:cNvPr id="42" name="CasellaDiTest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9267585" y="10498303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1 gg</a:t>
          </a:r>
        </a:p>
      </xdr:txBody>
    </xdr:sp>
    <xdr:clientData/>
  </xdr:oneCellAnchor>
  <xdr:oneCellAnchor>
    <xdr:from>
      <xdr:col>7</xdr:col>
      <xdr:colOff>242825</xdr:colOff>
      <xdr:row>63</xdr:row>
      <xdr:rowOff>3586</xdr:rowOff>
    </xdr:from>
    <xdr:ext cx="571247" cy="374141"/>
    <xdr:sp macro="" textlink="">
      <xdr:nvSpPr>
        <xdr:cNvPr id="44" name="CasellaDiTest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7758050" y="12005086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1 gg</a:t>
          </a:r>
        </a:p>
      </xdr:txBody>
    </xdr:sp>
    <xdr:clientData/>
  </xdr:oneCellAnchor>
  <xdr:oneCellAnchor>
    <xdr:from>
      <xdr:col>2</xdr:col>
      <xdr:colOff>274864</xdr:colOff>
      <xdr:row>62</xdr:row>
      <xdr:rowOff>158585</xdr:rowOff>
    </xdr:from>
    <xdr:ext cx="571247" cy="374141"/>
    <xdr:sp macro="" textlink="">
      <xdr:nvSpPr>
        <xdr:cNvPr id="46" name="CasellaDiTest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989614" y="11969585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2 gg</a:t>
          </a:r>
        </a:p>
      </xdr:txBody>
    </xdr:sp>
    <xdr:clientData/>
  </xdr:oneCellAnchor>
  <xdr:oneCellAnchor>
    <xdr:from>
      <xdr:col>4</xdr:col>
      <xdr:colOff>624692</xdr:colOff>
      <xdr:row>62</xdr:row>
      <xdr:rowOff>156852</xdr:rowOff>
    </xdr:from>
    <xdr:ext cx="571247" cy="374141"/>
    <xdr:sp macro="" textlink="">
      <xdr:nvSpPr>
        <xdr:cNvPr id="48" name="CasellaDiTest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5949167" y="11967852"/>
          <a:ext cx="5712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800"/>
            <a:t>2 gg</a:t>
          </a:r>
        </a:p>
      </xdr:txBody>
    </xdr:sp>
    <xdr:clientData/>
  </xdr:oneCellAnchor>
  <xdr:twoCellAnchor>
    <xdr:from>
      <xdr:col>1</xdr:col>
      <xdr:colOff>2652649</xdr:colOff>
      <xdr:row>56</xdr:row>
      <xdr:rowOff>28088</xdr:rowOff>
    </xdr:from>
    <xdr:to>
      <xdr:col>2</xdr:col>
      <xdr:colOff>358810</xdr:colOff>
      <xdr:row>59</xdr:row>
      <xdr:rowOff>77967</xdr:rowOff>
    </xdr:to>
    <xdr:cxnSp macro="">
      <xdr:nvCxnSpPr>
        <xdr:cNvPr id="54" name="Connettore 2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13" idx="5"/>
          <a:endCxn id="14" idx="1"/>
        </xdr:cNvCxnSpPr>
      </xdr:nvCxnSpPr>
      <xdr:spPr>
        <a:xfrm>
          <a:off x="3481884" y="10696088"/>
          <a:ext cx="664514" cy="62137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48</xdr:row>
      <xdr:rowOff>25545</xdr:rowOff>
    </xdr:from>
    <xdr:to>
      <xdr:col>4</xdr:col>
      <xdr:colOff>731693</xdr:colOff>
      <xdr:row>48</xdr:row>
      <xdr:rowOff>36801</xdr:rowOff>
    </xdr:to>
    <xdr:cxnSp macro="">
      <xdr:nvCxnSpPr>
        <xdr:cNvPr id="57" name="Connettore 2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4" idx="2"/>
          <a:endCxn id="16" idx="2"/>
        </xdr:cNvCxnSpPr>
      </xdr:nvCxnSpPr>
      <xdr:spPr>
        <a:xfrm>
          <a:off x="4972050" y="9169545"/>
          <a:ext cx="1084118" cy="1125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14720</xdr:colOff>
      <xdr:row>48</xdr:row>
      <xdr:rowOff>22947</xdr:rowOff>
    </xdr:from>
    <xdr:to>
      <xdr:col>7</xdr:col>
      <xdr:colOff>54553</xdr:colOff>
      <xdr:row>48</xdr:row>
      <xdr:rowOff>36801</xdr:rowOff>
    </xdr:to>
    <xdr:cxnSp macro="">
      <xdr:nvCxnSpPr>
        <xdr:cNvPr id="58" name="Connettore 2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16" idx="6"/>
          <a:endCxn id="23" idx="2"/>
        </xdr:cNvCxnSpPr>
      </xdr:nvCxnSpPr>
      <xdr:spPr>
        <a:xfrm flipV="1">
          <a:off x="6777470" y="9166947"/>
          <a:ext cx="792308" cy="1385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36369</xdr:colOff>
      <xdr:row>48</xdr:row>
      <xdr:rowOff>22947</xdr:rowOff>
    </xdr:from>
    <xdr:to>
      <xdr:col>9</xdr:col>
      <xdr:colOff>169402</xdr:colOff>
      <xdr:row>51</xdr:row>
      <xdr:rowOff>111425</xdr:rowOff>
    </xdr:to>
    <xdr:cxnSp macro="">
      <xdr:nvCxnSpPr>
        <xdr:cNvPr id="59" name="Connettore 2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23" idx="6"/>
          <a:endCxn id="15" idx="1"/>
        </xdr:cNvCxnSpPr>
      </xdr:nvCxnSpPr>
      <xdr:spPr>
        <a:xfrm>
          <a:off x="8373545" y="9166947"/>
          <a:ext cx="883828" cy="65997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687668</xdr:colOff>
      <xdr:row>54</xdr:row>
      <xdr:rowOff>94661</xdr:rowOff>
    </xdr:from>
    <xdr:to>
      <xdr:col>9</xdr:col>
      <xdr:colOff>169402</xdr:colOff>
      <xdr:row>59</xdr:row>
      <xdr:rowOff>64112</xdr:rowOff>
    </xdr:to>
    <xdr:cxnSp macro="">
      <xdr:nvCxnSpPr>
        <xdr:cNvPr id="60" name="Connettore 2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20" idx="7"/>
          <a:endCxn id="15" idx="3"/>
        </xdr:cNvCxnSpPr>
      </xdr:nvCxnSpPr>
      <xdr:spPr>
        <a:xfrm flipV="1">
          <a:off x="8274050" y="10381661"/>
          <a:ext cx="983323" cy="9219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60</xdr:row>
      <xdr:rowOff>132917</xdr:rowOff>
    </xdr:from>
    <xdr:to>
      <xdr:col>7</xdr:col>
      <xdr:colOff>62346</xdr:colOff>
      <xdr:row>60</xdr:row>
      <xdr:rowOff>167554</xdr:rowOff>
    </xdr:to>
    <xdr:cxnSp macro="">
      <xdr:nvCxnSpPr>
        <xdr:cNvPr id="61" name="Connettore 2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17" idx="6"/>
          <a:endCxn id="20" idx="2"/>
        </xdr:cNvCxnSpPr>
      </xdr:nvCxnSpPr>
      <xdr:spPr>
        <a:xfrm flipV="1">
          <a:off x="6619875" y="11562917"/>
          <a:ext cx="957696" cy="3463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166255</xdr:colOff>
      <xdr:row>60</xdr:row>
      <xdr:rowOff>146772</xdr:rowOff>
    </xdr:from>
    <xdr:to>
      <xdr:col>4</xdr:col>
      <xdr:colOff>537730</xdr:colOff>
      <xdr:row>60</xdr:row>
      <xdr:rowOff>167554</xdr:rowOff>
    </xdr:to>
    <xdr:cxnSp macro="">
      <xdr:nvCxnSpPr>
        <xdr:cNvPr id="62" name="Connettore 2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14" idx="6"/>
          <a:endCxn id="17" idx="2"/>
        </xdr:cNvCxnSpPr>
      </xdr:nvCxnSpPr>
      <xdr:spPr>
        <a:xfrm>
          <a:off x="4719205" y="11576772"/>
          <a:ext cx="1143000" cy="2078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118835</xdr:colOff>
      <xdr:row>54</xdr:row>
      <xdr:rowOff>87616</xdr:rowOff>
    </xdr:from>
    <xdr:to>
      <xdr:col>18</xdr:col>
      <xdr:colOff>66192</xdr:colOff>
      <xdr:row>58</xdr:row>
      <xdr:rowOff>124895</xdr:rowOff>
    </xdr:to>
    <xdr:cxnSp macro="">
      <xdr:nvCxnSpPr>
        <xdr:cNvPr id="63" name="Connettore 2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22" idx="6"/>
          <a:endCxn id="19" idx="3"/>
        </xdr:cNvCxnSpPr>
      </xdr:nvCxnSpPr>
      <xdr:spPr>
        <a:xfrm flipV="1">
          <a:off x="14014129" y="10374616"/>
          <a:ext cx="1157592" cy="79927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18287</xdr:colOff>
      <xdr:row>48</xdr:row>
      <xdr:rowOff>81269</xdr:rowOff>
    </xdr:from>
    <xdr:to>
      <xdr:col>18</xdr:col>
      <xdr:colOff>66192</xdr:colOff>
      <xdr:row>51</xdr:row>
      <xdr:rowOff>152751</xdr:rowOff>
    </xdr:to>
    <xdr:cxnSp macro="">
      <xdr:nvCxnSpPr>
        <xdr:cNvPr id="64" name="Connettore 2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21" idx="6"/>
          <a:endCxn id="19" idx="1"/>
        </xdr:cNvCxnSpPr>
      </xdr:nvCxnSpPr>
      <xdr:spPr>
        <a:xfrm>
          <a:off x="13913581" y="9225269"/>
          <a:ext cx="1258140" cy="64298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699093</xdr:colOff>
      <xdr:row>54</xdr:row>
      <xdr:rowOff>65815</xdr:rowOff>
    </xdr:from>
    <xdr:to>
      <xdr:col>14</xdr:col>
      <xdr:colOff>553521</xdr:colOff>
      <xdr:row>58</xdr:row>
      <xdr:rowOff>124895</xdr:rowOff>
    </xdr:to>
    <xdr:cxnSp macro="">
      <xdr:nvCxnSpPr>
        <xdr:cNvPr id="65" name="Connettore 2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18" idx="5"/>
          <a:endCxn id="22" idx="2"/>
        </xdr:cNvCxnSpPr>
      </xdr:nvCxnSpPr>
      <xdr:spPr>
        <a:xfrm>
          <a:off x="11938593" y="10352815"/>
          <a:ext cx="1299987" cy="8210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699093</xdr:colOff>
      <xdr:row>48</xdr:row>
      <xdr:rowOff>81269</xdr:rowOff>
    </xdr:from>
    <xdr:to>
      <xdr:col>14</xdr:col>
      <xdr:colOff>452973</xdr:colOff>
      <xdr:row>51</xdr:row>
      <xdr:rowOff>130950</xdr:rowOff>
    </xdr:to>
    <xdr:cxnSp macro="">
      <xdr:nvCxnSpPr>
        <xdr:cNvPr id="66" name="Connettore 2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18" idx="7"/>
          <a:endCxn id="21" idx="2"/>
        </xdr:cNvCxnSpPr>
      </xdr:nvCxnSpPr>
      <xdr:spPr>
        <a:xfrm flipV="1">
          <a:off x="11938593" y="9225269"/>
          <a:ext cx="1199439" cy="62118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83842</xdr:colOff>
      <xdr:row>53</xdr:row>
      <xdr:rowOff>3133</xdr:rowOff>
    </xdr:from>
    <xdr:to>
      <xdr:col>12</xdr:col>
      <xdr:colOff>23686</xdr:colOff>
      <xdr:row>53</xdr:row>
      <xdr:rowOff>7793</xdr:rowOff>
    </xdr:to>
    <xdr:cxnSp macro="">
      <xdr:nvCxnSpPr>
        <xdr:cNvPr id="67" name="Connettore 2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15" idx="6"/>
          <a:endCxn id="18" idx="2"/>
        </xdr:cNvCxnSpPr>
      </xdr:nvCxnSpPr>
      <xdr:spPr>
        <a:xfrm flipV="1">
          <a:off x="9922607" y="10099633"/>
          <a:ext cx="1340579" cy="46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40"/>
  <sheetViews>
    <sheetView tabSelected="1" zoomScale="85" zoomScaleNormal="85" workbookViewId="0">
      <selection activeCell="A30" sqref="A30:XFD30"/>
    </sheetView>
  </sheetViews>
  <sheetFormatPr defaultRowHeight="15" x14ac:dyDescent="0.25"/>
  <cols>
    <col min="1" max="1" width="12.42578125" bestFit="1" customWidth="1"/>
    <col min="2" max="2" width="44.28515625" customWidth="1"/>
    <col min="3" max="3" width="12.5703125" customWidth="1"/>
    <col min="4" max="4" width="11.5703125" customWidth="1"/>
    <col min="5" max="5" width="12.42578125" bestFit="1" customWidth="1"/>
    <col min="7" max="10" width="11.28515625" bestFit="1" customWidth="1"/>
    <col min="12" max="12" width="11.85546875" bestFit="1" customWidth="1"/>
    <col min="13" max="13" width="12.5703125" bestFit="1" customWidth="1"/>
    <col min="16" max="39" width="9.140625" customWidth="1"/>
    <col min="44" max="44" width="10.85546875" bestFit="1" customWidth="1"/>
  </cols>
  <sheetData>
    <row r="2" spans="1:44" x14ac:dyDescent="0.25">
      <c r="A2" t="s">
        <v>27</v>
      </c>
      <c r="B2" s="20">
        <v>45421</v>
      </c>
      <c r="D2" t="s">
        <v>0</v>
      </c>
    </row>
    <row r="3" spans="1:44" x14ac:dyDescent="0.25">
      <c r="A3" t="s">
        <v>35</v>
      </c>
      <c r="B3" s="21">
        <f>H16-G6</f>
        <v>23</v>
      </c>
      <c r="C3" t="s">
        <v>34</v>
      </c>
      <c r="G3" s="23" t="s">
        <v>30</v>
      </c>
      <c r="H3" s="23"/>
      <c r="I3" s="23" t="s">
        <v>31</v>
      </c>
      <c r="J3" s="24"/>
      <c r="P3" s="25" t="s">
        <v>30</v>
      </c>
      <c r="Q3" s="26"/>
    </row>
    <row r="4" spans="1:44" x14ac:dyDescent="0.25">
      <c r="A4" s="2" t="s">
        <v>1</v>
      </c>
      <c r="B4" s="2" t="s">
        <v>2</v>
      </c>
      <c r="C4" s="2" t="s">
        <v>3</v>
      </c>
      <c r="D4" s="1" t="s">
        <v>36</v>
      </c>
      <c r="E4" s="1" t="s">
        <v>37</v>
      </c>
      <c r="F4" s="1" t="s">
        <v>4</v>
      </c>
      <c r="G4" s="1" t="s">
        <v>25</v>
      </c>
      <c r="H4" s="1" t="s">
        <v>26</v>
      </c>
      <c r="I4" s="1" t="s">
        <v>25</v>
      </c>
      <c r="J4" s="1" t="s">
        <v>26</v>
      </c>
      <c r="L4" s="1" t="s">
        <v>32</v>
      </c>
      <c r="M4" s="1" t="s">
        <v>33</v>
      </c>
      <c r="N4" s="1" t="s">
        <v>4</v>
      </c>
      <c r="P4" s="14">
        <f>B2</f>
        <v>45421</v>
      </c>
      <c r="Q4" s="14">
        <f>P4+1</f>
        <v>45422</v>
      </c>
      <c r="R4" s="14">
        <f t="shared" ref="R4:AM4" si="0">Q4+1</f>
        <v>45423</v>
      </c>
      <c r="S4" s="14">
        <f t="shared" si="0"/>
        <v>45424</v>
      </c>
      <c r="T4" s="14">
        <f t="shared" si="0"/>
        <v>45425</v>
      </c>
      <c r="U4" s="14">
        <f t="shared" si="0"/>
        <v>45426</v>
      </c>
      <c r="V4" s="14">
        <f t="shared" si="0"/>
        <v>45427</v>
      </c>
      <c r="W4" s="14">
        <f t="shared" si="0"/>
        <v>45428</v>
      </c>
      <c r="X4" s="14">
        <f t="shared" si="0"/>
        <v>45429</v>
      </c>
      <c r="Y4" s="14">
        <f t="shared" si="0"/>
        <v>45430</v>
      </c>
      <c r="Z4" s="14">
        <f t="shared" si="0"/>
        <v>45431</v>
      </c>
      <c r="AA4" s="14">
        <f t="shared" si="0"/>
        <v>45432</v>
      </c>
      <c r="AB4" s="14">
        <f t="shared" si="0"/>
        <v>45433</v>
      </c>
      <c r="AC4" s="14">
        <f t="shared" si="0"/>
        <v>45434</v>
      </c>
      <c r="AD4" s="14">
        <f t="shared" si="0"/>
        <v>45435</v>
      </c>
      <c r="AE4" s="14">
        <f t="shared" si="0"/>
        <v>45436</v>
      </c>
      <c r="AF4" s="14">
        <f t="shared" si="0"/>
        <v>45437</v>
      </c>
      <c r="AG4" s="14">
        <f t="shared" si="0"/>
        <v>45438</v>
      </c>
      <c r="AH4" s="14">
        <f t="shared" si="0"/>
        <v>45439</v>
      </c>
      <c r="AI4" s="14">
        <f t="shared" si="0"/>
        <v>45440</v>
      </c>
      <c r="AJ4" s="14">
        <f t="shared" si="0"/>
        <v>45441</v>
      </c>
      <c r="AK4" s="14">
        <f t="shared" si="0"/>
        <v>45442</v>
      </c>
      <c r="AL4" s="14">
        <f t="shared" si="0"/>
        <v>45443</v>
      </c>
      <c r="AM4" s="14">
        <f t="shared" si="0"/>
        <v>45444</v>
      </c>
    </row>
    <row r="5" spans="1:44" x14ac:dyDescent="0.25">
      <c r="A5" s="10" t="s">
        <v>28</v>
      </c>
      <c r="B5" s="11" t="s">
        <v>29</v>
      </c>
      <c r="C5" s="10" t="s">
        <v>20</v>
      </c>
      <c r="D5" s="10"/>
      <c r="E5" s="10"/>
      <c r="F5" s="10">
        <v>0</v>
      </c>
      <c r="G5" s="12">
        <f>B2</f>
        <v>45421</v>
      </c>
      <c r="H5" s="12">
        <f>B2</f>
        <v>45421</v>
      </c>
      <c r="I5" s="13">
        <f>I6</f>
        <v>45421</v>
      </c>
      <c r="J5" s="13">
        <f>I6</f>
        <v>45421</v>
      </c>
      <c r="L5" s="1">
        <v>0</v>
      </c>
      <c r="M5" s="1" t="s">
        <v>20</v>
      </c>
      <c r="N5" s="1">
        <v>0</v>
      </c>
      <c r="P5" s="15"/>
      <c r="Q5" s="15"/>
      <c r="R5" s="15"/>
      <c r="S5" s="15"/>
      <c r="T5" s="15"/>
      <c r="U5" s="15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O5" s="18" t="s">
        <v>38</v>
      </c>
      <c r="AP5" s="1">
        <f>MAX(P17:AM17)</f>
        <v>11</v>
      </c>
      <c r="AQ5" s="18" t="s">
        <v>40</v>
      </c>
      <c r="AR5" s="8">
        <f ca="1">OFFSET(P4,0,MATCH(AP5,P17:AM17,0))</f>
        <v>45426</v>
      </c>
    </row>
    <row r="6" spans="1:44" x14ac:dyDescent="0.25">
      <c r="A6" s="5">
        <v>1</v>
      </c>
      <c r="B6" s="6" t="s">
        <v>5</v>
      </c>
      <c r="C6" s="7" t="s">
        <v>20</v>
      </c>
      <c r="D6" s="1">
        <v>3</v>
      </c>
      <c r="E6" s="1">
        <v>100</v>
      </c>
      <c r="F6" s="5">
        <v>6</v>
      </c>
      <c r="G6" s="8">
        <f>B2</f>
        <v>45421</v>
      </c>
      <c r="H6" s="8">
        <f t="shared" ref="H6:H16" si="1">G6+F6-1</f>
        <v>45426</v>
      </c>
      <c r="I6" s="8">
        <f t="shared" ref="I6:I16" si="2">J6-F6+1</f>
        <v>45421</v>
      </c>
      <c r="J6" s="8">
        <f>I8-1</f>
        <v>45426</v>
      </c>
      <c r="L6" s="1">
        <f>J6-H6</f>
        <v>0</v>
      </c>
      <c r="M6" s="1" t="str">
        <f>IF(L6=0,"CRITICA","NON CRITICA")</f>
        <v>CRITICA</v>
      </c>
      <c r="N6" s="1">
        <f>IF(M6="CRITICA",F6,0)</f>
        <v>6</v>
      </c>
      <c r="P6" s="1">
        <f>IF(AND(P$4&gt;=$G6,P$4&lt;=$H6),$D6,0)</f>
        <v>3</v>
      </c>
      <c r="Q6" s="1">
        <f t="shared" ref="Q6:AM16" si="3">IF(AND(Q$4&gt;=$G6,Q$4&lt;=$H6),$D6,0)</f>
        <v>3</v>
      </c>
      <c r="R6" s="1">
        <f t="shared" si="3"/>
        <v>3</v>
      </c>
      <c r="S6" s="1">
        <f t="shared" si="3"/>
        <v>3</v>
      </c>
      <c r="T6" s="1">
        <f t="shared" si="3"/>
        <v>3</v>
      </c>
      <c r="U6" s="1">
        <f t="shared" si="3"/>
        <v>3</v>
      </c>
      <c r="V6" s="1">
        <f t="shared" si="3"/>
        <v>0</v>
      </c>
      <c r="W6" s="1">
        <f t="shared" si="3"/>
        <v>0</v>
      </c>
      <c r="X6" s="1">
        <f t="shared" si="3"/>
        <v>0</v>
      </c>
      <c r="Y6" s="1">
        <f t="shared" si="3"/>
        <v>0</v>
      </c>
      <c r="Z6" s="1">
        <f t="shared" si="3"/>
        <v>0</v>
      </c>
      <c r="AA6" s="1">
        <f t="shared" si="3"/>
        <v>0</v>
      </c>
      <c r="AB6" s="1">
        <f t="shared" si="3"/>
        <v>0</v>
      </c>
      <c r="AC6" s="1">
        <f t="shared" si="3"/>
        <v>0</v>
      </c>
      <c r="AD6" s="1">
        <f t="shared" si="3"/>
        <v>0</v>
      </c>
      <c r="AE6" s="1">
        <f t="shared" si="3"/>
        <v>0</v>
      </c>
      <c r="AF6" s="1">
        <f t="shared" si="3"/>
        <v>0</v>
      </c>
      <c r="AG6" s="1">
        <f t="shared" si="3"/>
        <v>0</v>
      </c>
      <c r="AH6" s="1">
        <f t="shared" si="3"/>
        <v>0</v>
      </c>
      <c r="AI6" s="1">
        <f t="shared" si="3"/>
        <v>0</v>
      </c>
      <c r="AJ6" s="1">
        <f t="shared" si="3"/>
        <v>0</v>
      </c>
      <c r="AK6" s="1">
        <f t="shared" si="3"/>
        <v>0</v>
      </c>
      <c r="AL6" s="1">
        <f t="shared" si="3"/>
        <v>0</v>
      </c>
      <c r="AM6" s="1">
        <f t="shared" si="3"/>
        <v>0</v>
      </c>
      <c r="AO6" s="18" t="s">
        <v>39</v>
      </c>
      <c r="AP6" s="1">
        <f>MIN(P17:AM17)</f>
        <v>2</v>
      </c>
      <c r="AQ6" s="18" t="s">
        <v>40</v>
      </c>
      <c r="AR6" s="8">
        <f ca="1">OFFSET(P4,0,MATCH(AP6,P17:AM17,0))</f>
        <v>45431</v>
      </c>
    </row>
    <row r="7" spans="1:44" x14ac:dyDescent="0.25">
      <c r="A7" s="1">
        <v>2</v>
      </c>
      <c r="B7" s="2" t="s">
        <v>6</v>
      </c>
      <c r="C7" s="3" t="s">
        <v>20</v>
      </c>
      <c r="D7" s="1">
        <v>5</v>
      </c>
      <c r="E7" s="1">
        <v>350</v>
      </c>
      <c r="F7" s="1">
        <v>2</v>
      </c>
      <c r="G7" s="8">
        <f>B2</f>
        <v>45421</v>
      </c>
      <c r="H7" s="8">
        <f t="shared" si="1"/>
        <v>45422</v>
      </c>
      <c r="I7" s="8">
        <f t="shared" si="2"/>
        <v>45429</v>
      </c>
      <c r="J7" s="8">
        <f>I9-1</f>
        <v>45430</v>
      </c>
      <c r="L7" s="1">
        <f t="shared" ref="L7:L16" si="4">J7-H7</f>
        <v>8</v>
      </c>
      <c r="M7" s="1" t="str">
        <f t="shared" ref="M7:M16" si="5">IF(L7=0,"CRITICA","NON CRITICA")</f>
        <v>NON CRITICA</v>
      </c>
      <c r="N7" s="1">
        <f t="shared" ref="N7:N16" si="6">IF(M7="CRITICA",F7,0)</f>
        <v>0</v>
      </c>
      <c r="P7" s="1">
        <f t="shared" ref="P7:AE16" si="7">IF(AND(P$4&gt;=$G7,P$4&lt;=$H7),$D7,0)</f>
        <v>5</v>
      </c>
      <c r="Q7" s="1">
        <f t="shared" si="7"/>
        <v>5</v>
      </c>
      <c r="R7" s="1">
        <f t="shared" si="7"/>
        <v>0</v>
      </c>
      <c r="S7" s="1">
        <f t="shared" si="7"/>
        <v>0</v>
      </c>
      <c r="T7" s="1">
        <f t="shared" si="7"/>
        <v>0</v>
      </c>
      <c r="U7" s="1">
        <f t="shared" si="7"/>
        <v>0</v>
      </c>
      <c r="V7" s="1">
        <f t="shared" si="7"/>
        <v>0</v>
      </c>
      <c r="W7" s="1">
        <f t="shared" si="7"/>
        <v>0</v>
      </c>
      <c r="X7" s="1">
        <f t="shared" si="7"/>
        <v>0</v>
      </c>
      <c r="Y7" s="1">
        <f t="shared" si="7"/>
        <v>0</v>
      </c>
      <c r="Z7" s="1">
        <f t="shared" si="7"/>
        <v>0</v>
      </c>
      <c r="AA7" s="1">
        <f t="shared" si="7"/>
        <v>0</v>
      </c>
      <c r="AB7" s="1">
        <f t="shared" si="7"/>
        <v>0</v>
      </c>
      <c r="AC7" s="1">
        <f t="shared" si="7"/>
        <v>0</v>
      </c>
      <c r="AD7" s="1">
        <f t="shared" si="7"/>
        <v>0</v>
      </c>
      <c r="AE7" s="1">
        <f t="shared" si="7"/>
        <v>0</v>
      </c>
      <c r="AF7" s="1">
        <f t="shared" si="3"/>
        <v>0</v>
      </c>
      <c r="AG7" s="1">
        <f t="shared" si="3"/>
        <v>0</v>
      </c>
      <c r="AH7" s="1">
        <f t="shared" si="3"/>
        <v>0</v>
      </c>
      <c r="AI7" s="1">
        <f t="shared" si="3"/>
        <v>0</v>
      </c>
      <c r="AJ7" s="1">
        <f t="shared" si="3"/>
        <v>0</v>
      </c>
      <c r="AK7" s="1">
        <f t="shared" si="3"/>
        <v>0</v>
      </c>
      <c r="AL7" s="1">
        <f t="shared" si="3"/>
        <v>0</v>
      </c>
      <c r="AM7" s="1">
        <f t="shared" si="3"/>
        <v>0</v>
      </c>
    </row>
    <row r="8" spans="1:44" x14ac:dyDescent="0.25">
      <c r="A8" s="1">
        <v>3</v>
      </c>
      <c r="B8" s="2" t="s">
        <v>7</v>
      </c>
      <c r="C8" s="3">
        <v>1</v>
      </c>
      <c r="D8" s="1">
        <v>7</v>
      </c>
      <c r="E8" s="1">
        <v>130</v>
      </c>
      <c r="F8" s="1">
        <v>3</v>
      </c>
      <c r="G8" s="8">
        <f>H6+1</f>
        <v>45427</v>
      </c>
      <c r="H8" s="8">
        <f t="shared" si="1"/>
        <v>45429</v>
      </c>
      <c r="I8" s="8">
        <f t="shared" si="2"/>
        <v>45427</v>
      </c>
      <c r="J8" s="8">
        <f>I10-1</f>
        <v>45429</v>
      </c>
      <c r="L8" s="1">
        <f t="shared" si="4"/>
        <v>0</v>
      </c>
      <c r="M8" s="1" t="str">
        <f t="shared" si="5"/>
        <v>CRITICA</v>
      </c>
      <c r="N8" s="1">
        <f t="shared" si="6"/>
        <v>3</v>
      </c>
      <c r="P8" s="1">
        <f t="shared" si="7"/>
        <v>0</v>
      </c>
      <c r="Q8" s="1">
        <f t="shared" si="3"/>
        <v>0</v>
      </c>
      <c r="R8" s="1">
        <f t="shared" si="3"/>
        <v>0</v>
      </c>
      <c r="S8" s="1">
        <f t="shared" si="3"/>
        <v>0</v>
      </c>
      <c r="T8" s="1">
        <f t="shared" si="3"/>
        <v>0</v>
      </c>
      <c r="U8" s="1">
        <f t="shared" si="3"/>
        <v>0</v>
      </c>
      <c r="V8" s="1">
        <f t="shared" si="3"/>
        <v>7</v>
      </c>
      <c r="W8" s="1">
        <f t="shared" si="3"/>
        <v>7</v>
      </c>
      <c r="X8" s="1">
        <f t="shared" si="3"/>
        <v>7</v>
      </c>
      <c r="Y8" s="1">
        <f t="shared" si="3"/>
        <v>0</v>
      </c>
      <c r="Z8" s="1">
        <f t="shared" si="3"/>
        <v>0</v>
      </c>
      <c r="AA8" s="1">
        <f t="shared" si="3"/>
        <v>0</v>
      </c>
      <c r="AB8" s="1">
        <f t="shared" si="3"/>
        <v>0</v>
      </c>
      <c r="AC8" s="1">
        <f t="shared" si="3"/>
        <v>0</v>
      </c>
      <c r="AD8" s="1">
        <f t="shared" si="3"/>
        <v>0</v>
      </c>
      <c r="AE8" s="1">
        <f t="shared" si="3"/>
        <v>0</v>
      </c>
      <c r="AF8" s="1">
        <f t="shared" si="3"/>
        <v>0</v>
      </c>
      <c r="AG8" s="1">
        <f t="shared" si="3"/>
        <v>0</v>
      </c>
      <c r="AH8" s="1">
        <f t="shared" si="3"/>
        <v>0</v>
      </c>
      <c r="AI8" s="1">
        <f t="shared" si="3"/>
        <v>0</v>
      </c>
      <c r="AJ8" s="1">
        <f t="shared" si="3"/>
        <v>0</v>
      </c>
      <c r="AK8" s="1">
        <f t="shared" si="3"/>
        <v>0</v>
      </c>
      <c r="AL8" s="1">
        <f t="shared" si="3"/>
        <v>0</v>
      </c>
      <c r="AM8" s="1">
        <f t="shared" si="3"/>
        <v>0</v>
      </c>
    </row>
    <row r="9" spans="1:44" x14ac:dyDescent="0.25">
      <c r="A9" s="1">
        <v>4</v>
      </c>
      <c r="B9" s="2" t="s">
        <v>8</v>
      </c>
      <c r="C9" s="3">
        <v>2</v>
      </c>
      <c r="D9" s="1">
        <v>3</v>
      </c>
      <c r="E9" s="1">
        <v>390</v>
      </c>
      <c r="F9" s="1">
        <v>2</v>
      </c>
      <c r="G9" s="8">
        <f>H7+1</f>
        <v>45423</v>
      </c>
      <c r="H9" s="8">
        <f t="shared" si="1"/>
        <v>45424</v>
      </c>
      <c r="I9" s="8">
        <f t="shared" si="2"/>
        <v>45431</v>
      </c>
      <c r="J9" s="8">
        <f>I11-1</f>
        <v>45432</v>
      </c>
      <c r="L9" s="1">
        <f t="shared" si="4"/>
        <v>8</v>
      </c>
      <c r="M9" s="1" t="str">
        <f t="shared" si="5"/>
        <v>NON CRITICA</v>
      </c>
      <c r="N9" s="1">
        <f t="shared" si="6"/>
        <v>0</v>
      </c>
      <c r="P9" s="1">
        <f t="shared" si="7"/>
        <v>0</v>
      </c>
      <c r="Q9" s="1">
        <f t="shared" si="3"/>
        <v>0</v>
      </c>
      <c r="R9" s="1">
        <f t="shared" si="3"/>
        <v>3</v>
      </c>
      <c r="S9" s="1">
        <f t="shared" si="3"/>
        <v>3</v>
      </c>
      <c r="T9" s="1">
        <f t="shared" si="3"/>
        <v>0</v>
      </c>
      <c r="U9" s="1">
        <f t="shared" si="3"/>
        <v>0</v>
      </c>
      <c r="V9" s="1">
        <f t="shared" si="3"/>
        <v>0</v>
      </c>
      <c r="W9" s="1">
        <f t="shared" si="3"/>
        <v>0</v>
      </c>
      <c r="X9" s="1">
        <f t="shared" si="3"/>
        <v>0</v>
      </c>
      <c r="Y9" s="1">
        <f t="shared" si="3"/>
        <v>0</v>
      </c>
      <c r="Z9" s="1">
        <f t="shared" si="3"/>
        <v>0</v>
      </c>
      <c r="AA9" s="1">
        <f t="shared" si="3"/>
        <v>0</v>
      </c>
      <c r="AB9" s="1">
        <f t="shared" si="3"/>
        <v>0</v>
      </c>
      <c r="AC9" s="1">
        <f t="shared" si="3"/>
        <v>0</v>
      </c>
      <c r="AD9" s="1">
        <f t="shared" si="3"/>
        <v>0</v>
      </c>
      <c r="AE9" s="1">
        <f t="shared" si="3"/>
        <v>0</v>
      </c>
      <c r="AF9" s="1">
        <f t="shared" si="3"/>
        <v>0</v>
      </c>
      <c r="AG9" s="1">
        <f t="shared" si="3"/>
        <v>0</v>
      </c>
      <c r="AH9" s="1">
        <f t="shared" si="3"/>
        <v>0</v>
      </c>
      <c r="AI9" s="1">
        <f t="shared" si="3"/>
        <v>0</v>
      </c>
      <c r="AJ9" s="1">
        <f t="shared" si="3"/>
        <v>0</v>
      </c>
      <c r="AK9" s="1">
        <f t="shared" si="3"/>
        <v>0</v>
      </c>
      <c r="AL9" s="1">
        <f t="shared" si="3"/>
        <v>0</v>
      </c>
      <c r="AM9" s="1">
        <f t="shared" si="3"/>
        <v>0</v>
      </c>
    </row>
    <row r="10" spans="1:44" x14ac:dyDescent="0.25">
      <c r="A10" s="1">
        <v>5</v>
      </c>
      <c r="B10" s="2" t="s">
        <v>9</v>
      </c>
      <c r="C10" s="3">
        <v>3</v>
      </c>
      <c r="D10" s="1">
        <v>2</v>
      </c>
      <c r="E10" s="1">
        <v>200</v>
      </c>
      <c r="F10" s="1">
        <v>4</v>
      </c>
      <c r="G10" s="8">
        <f>H8+1</f>
        <v>45430</v>
      </c>
      <c r="H10" s="8">
        <f t="shared" si="1"/>
        <v>45433</v>
      </c>
      <c r="I10" s="8">
        <f t="shared" si="2"/>
        <v>45430</v>
      </c>
      <c r="J10" s="8">
        <f>I12-1</f>
        <v>45433</v>
      </c>
      <c r="L10" s="1">
        <f t="shared" si="4"/>
        <v>0</v>
      </c>
      <c r="M10" s="1" t="str">
        <f t="shared" si="5"/>
        <v>CRITICA</v>
      </c>
      <c r="N10" s="1">
        <f t="shared" si="6"/>
        <v>4</v>
      </c>
      <c r="P10" s="1">
        <f t="shared" si="7"/>
        <v>0</v>
      </c>
      <c r="Q10" s="1">
        <f t="shared" si="3"/>
        <v>0</v>
      </c>
      <c r="R10" s="1">
        <f t="shared" si="3"/>
        <v>0</v>
      </c>
      <c r="S10" s="1">
        <f t="shared" si="3"/>
        <v>0</v>
      </c>
      <c r="T10" s="1">
        <f t="shared" si="3"/>
        <v>0</v>
      </c>
      <c r="U10" s="1">
        <f t="shared" si="3"/>
        <v>0</v>
      </c>
      <c r="V10" s="1">
        <f t="shared" si="3"/>
        <v>0</v>
      </c>
      <c r="W10" s="1">
        <f t="shared" si="3"/>
        <v>0</v>
      </c>
      <c r="X10" s="1">
        <f t="shared" si="3"/>
        <v>0</v>
      </c>
      <c r="Y10" s="1">
        <f t="shared" si="3"/>
        <v>2</v>
      </c>
      <c r="Z10" s="1">
        <f t="shared" si="3"/>
        <v>2</v>
      </c>
      <c r="AA10" s="1">
        <f t="shared" si="3"/>
        <v>2</v>
      </c>
      <c r="AB10" s="1">
        <f t="shared" si="3"/>
        <v>2</v>
      </c>
      <c r="AC10" s="1">
        <f t="shared" si="3"/>
        <v>0</v>
      </c>
      <c r="AD10" s="1">
        <f t="shared" si="3"/>
        <v>0</v>
      </c>
      <c r="AE10" s="1">
        <f t="shared" si="3"/>
        <v>0</v>
      </c>
      <c r="AF10" s="1">
        <f t="shared" si="3"/>
        <v>0</v>
      </c>
      <c r="AG10" s="1">
        <f t="shared" si="3"/>
        <v>0</v>
      </c>
      <c r="AH10" s="1">
        <f t="shared" si="3"/>
        <v>0</v>
      </c>
      <c r="AI10" s="1">
        <f t="shared" si="3"/>
        <v>0</v>
      </c>
      <c r="AJ10" s="1">
        <f t="shared" si="3"/>
        <v>0</v>
      </c>
      <c r="AK10" s="1">
        <f t="shared" si="3"/>
        <v>0</v>
      </c>
      <c r="AL10" s="1">
        <f t="shared" si="3"/>
        <v>0</v>
      </c>
      <c r="AM10" s="1">
        <f t="shared" si="3"/>
        <v>0</v>
      </c>
    </row>
    <row r="11" spans="1:44" x14ac:dyDescent="0.25">
      <c r="A11" s="1">
        <v>6</v>
      </c>
      <c r="B11" s="2" t="s">
        <v>10</v>
      </c>
      <c r="C11" s="3">
        <v>4</v>
      </c>
      <c r="D11" s="1">
        <v>8</v>
      </c>
      <c r="E11" s="1">
        <v>170</v>
      </c>
      <c r="F11" s="1">
        <v>1</v>
      </c>
      <c r="G11" s="8">
        <f>H9+1</f>
        <v>45425</v>
      </c>
      <c r="H11" s="8">
        <f t="shared" si="1"/>
        <v>45425</v>
      </c>
      <c r="I11" s="8">
        <f t="shared" si="2"/>
        <v>45433</v>
      </c>
      <c r="J11" s="8">
        <f>I12-1</f>
        <v>45433</v>
      </c>
      <c r="L11" s="1">
        <f t="shared" si="4"/>
        <v>8</v>
      </c>
      <c r="M11" s="1" t="str">
        <f t="shared" si="5"/>
        <v>NON CRITICA</v>
      </c>
      <c r="N11" s="1">
        <f t="shared" si="6"/>
        <v>0</v>
      </c>
      <c r="P11" s="1">
        <f t="shared" si="7"/>
        <v>0</v>
      </c>
      <c r="Q11" s="1">
        <f t="shared" si="3"/>
        <v>0</v>
      </c>
      <c r="R11" s="1">
        <f t="shared" si="3"/>
        <v>0</v>
      </c>
      <c r="S11" s="1">
        <f t="shared" si="3"/>
        <v>0</v>
      </c>
      <c r="T11" s="1">
        <f t="shared" si="3"/>
        <v>8</v>
      </c>
      <c r="U11" s="1">
        <f t="shared" si="3"/>
        <v>0</v>
      </c>
      <c r="V11" s="1">
        <f t="shared" si="3"/>
        <v>0</v>
      </c>
      <c r="W11" s="1">
        <f t="shared" si="3"/>
        <v>0</v>
      </c>
      <c r="X11" s="1">
        <f t="shared" si="3"/>
        <v>0</v>
      </c>
      <c r="Y11" s="1">
        <f t="shared" si="3"/>
        <v>0</v>
      </c>
      <c r="Z11" s="1">
        <f t="shared" si="3"/>
        <v>0</v>
      </c>
      <c r="AA11" s="1">
        <f t="shared" si="3"/>
        <v>0</v>
      </c>
      <c r="AB11" s="1">
        <f t="shared" si="3"/>
        <v>0</v>
      </c>
      <c r="AC11" s="1">
        <f t="shared" si="3"/>
        <v>0</v>
      </c>
      <c r="AD11" s="1">
        <f t="shared" si="3"/>
        <v>0</v>
      </c>
      <c r="AE11" s="1">
        <f t="shared" si="3"/>
        <v>0</v>
      </c>
      <c r="AF11" s="1">
        <f t="shared" si="3"/>
        <v>0</v>
      </c>
      <c r="AG11" s="1">
        <f t="shared" si="3"/>
        <v>0</v>
      </c>
      <c r="AH11" s="1">
        <f t="shared" si="3"/>
        <v>0</v>
      </c>
      <c r="AI11" s="1">
        <f t="shared" si="3"/>
        <v>0</v>
      </c>
      <c r="AJ11" s="1">
        <f t="shared" si="3"/>
        <v>0</v>
      </c>
      <c r="AK11" s="1">
        <f t="shared" si="3"/>
        <v>0</v>
      </c>
      <c r="AL11" s="1">
        <f t="shared" si="3"/>
        <v>0</v>
      </c>
      <c r="AM11" s="1">
        <f t="shared" si="3"/>
        <v>0</v>
      </c>
    </row>
    <row r="12" spans="1:44" x14ac:dyDescent="0.25">
      <c r="A12" s="1">
        <v>7</v>
      </c>
      <c r="B12" s="2" t="s">
        <v>11</v>
      </c>
      <c r="C12" s="3" t="s">
        <v>16</v>
      </c>
      <c r="D12" s="1">
        <v>4</v>
      </c>
      <c r="E12" s="1">
        <v>480</v>
      </c>
      <c r="F12" s="1">
        <v>1</v>
      </c>
      <c r="G12" s="8">
        <f>MAX(H10:H11)+1</f>
        <v>45434</v>
      </c>
      <c r="H12" s="8">
        <f t="shared" si="1"/>
        <v>45434</v>
      </c>
      <c r="I12" s="8">
        <f t="shared" si="2"/>
        <v>45434</v>
      </c>
      <c r="J12" s="8">
        <f>I13-1</f>
        <v>45434</v>
      </c>
      <c r="L12" s="1">
        <f t="shared" si="4"/>
        <v>0</v>
      </c>
      <c r="M12" s="1" t="str">
        <f t="shared" si="5"/>
        <v>CRITICA</v>
      </c>
      <c r="N12" s="1">
        <f t="shared" si="6"/>
        <v>1</v>
      </c>
      <c r="P12" s="1">
        <f t="shared" si="7"/>
        <v>0</v>
      </c>
      <c r="Q12" s="1">
        <f t="shared" si="3"/>
        <v>0</v>
      </c>
      <c r="R12" s="1">
        <f t="shared" si="3"/>
        <v>0</v>
      </c>
      <c r="S12" s="1">
        <f t="shared" si="3"/>
        <v>0</v>
      </c>
      <c r="T12" s="1">
        <f t="shared" si="3"/>
        <v>0</v>
      </c>
      <c r="U12" s="1">
        <f t="shared" si="3"/>
        <v>0</v>
      </c>
      <c r="V12" s="1">
        <f t="shared" si="3"/>
        <v>0</v>
      </c>
      <c r="W12" s="1">
        <f t="shared" si="3"/>
        <v>0</v>
      </c>
      <c r="X12" s="1">
        <f t="shared" si="3"/>
        <v>0</v>
      </c>
      <c r="Y12" s="1">
        <f t="shared" si="3"/>
        <v>0</v>
      </c>
      <c r="Z12" s="1">
        <f t="shared" si="3"/>
        <v>0</v>
      </c>
      <c r="AA12" s="1">
        <f t="shared" si="3"/>
        <v>0</v>
      </c>
      <c r="AB12" s="1">
        <f t="shared" si="3"/>
        <v>0</v>
      </c>
      <c r="AC12" s="1">
        <f t="shared" si="3"/>
        <v>4</v>
      </c>
      <c r="AD12" s="1">
        <f t="shared" si="3"/>
        <v>0</v>
      </c>
      <c r="AE12" s="1">
        <f t="shared" si="3"/>
        <v>0</v>
      </c>
      <c r="AF12" s="1">
        <f t="shared" si="3"/>
        <v>0</v>
      </c>
      <c r="AG12" s="1">
        <f t="shared" si="3"/>
        <v>0</v>
      </c>
      <c r="AH12" s="1">
        <f t="shared" si="3"/>
        <v>0</v>
      </c>
      <c r="AI12" s="1">
        <f t="shared" si="3"/>
        <v>0</v>
      </c>
      <c r="AJ12" s="1">
        <f t="shared" si="3"/>
        <v>0</v>
      </c>
      <c r="AK12" s="1">
        <f t="shared" si="3"/>
        <v>0</v>
      </c>
      <c r="AL12" s="1">
        <f t="shared" si="3"/>
        <v>0</v>
      </c>
      <c r="AM12" s="1">
        <f t="shared" si="3"/>
        <v>0</v>
      </c>
    </row>
    <row r="13" spans="1:44" x14ac:dyDescent="0.25">
      <c r="A13" s="1">
        <v>8</v>
      </c>
      <c r="B13" s="2" t="s">
        <v>12</v>
      </c>
      <c r="C13" s="3" t="s">
        <v>17</v>
      </c>
      <c r="D13" s="1">
        <v>6</v>
      </c>
      <c r="E13" s="1">
        <v>340</v>
      </c>
      <c r="F13" s="1">
        <v>6</v>
      </c>
      <c r="G13" s="8">
        <f>H12+1</f>
        <v>45435</v>
      </c>
      <c r="H13" s="8">
        <f t="shared" si="1"/>
        <v>45440</v>
      </c>
      <c r="I13" s="8">
        <f t="shared" si="2"/>
        <v>45435</v>
      </c>
      <c r="J13" s="8">
        <f>MIN(I14:I15)-1</f>
        <v>45440</v>
      </c>
      <c r="L13" s="1">
        <f t="shared" si="4"/>
        <v>0</v>
      </c>
      <c r="M13" s="1" t="str">
        <f t="shared" si="5"/>
        <v>CRITICA</v>
      </c>
      <c r="N13" s="1">
        <f t="shared" si="6"/>
        <v>6</v>
      </c>
      <c r="P13" s="1">
        <f t="shared" si="7"/>
        <v>0</v>
      </c>
      <c r="Q13" s="1">
        <f t="shared" si="3"/>
        <v>0</v>
      </c>
      <c r="R13" s="1">
        <f t="shared" si="3"/>
        <v>0</v>
      </c>
      <c r="S13" s="1">
        <f t="shared" si="3"/>
        <v>0</v>
      </c>
      <c r="T13" s="1">
        <f t="shared" si="3"/>
        <v>0</v>
      </c>
      <c r="U13" s="1">
        <f t="shared" si="3"/>
        <v>0</v>
      </c>
      <c r="V13" s="1">
        <f t="shared" si="3"/>
        <v>0</v>
      </c>
      <c r="W13" s="1">
        <f t="shared" si="3"/>
        <v>0</v>
      </c>
      <c r="X13" s="1">
        <f t="shared" si="3"/>
        <v>0</v>
      </c>
      <c r="Y13" s="1">
        <f t="shared" si="3"/>
        <v>0</v>
      </c>
      <c r="Z13" s="1">
        <f t="shared" si="3"/>
        <v>0</v>
      </c>
      <c r="AA13" s="1">
        <f t="shared" si="3"/>
        <v>0</v>
      </c>
      <c r="AB13" s="1">
        <f t="shared" si="3"/>
        <v>0</v>
      </c>
      <c r="AC13" s="1">
        <f t="shared" si="3"/>
        <v>0</v>
      </c>
      <c r="AD13" s="1">
        <f t="shared" si="3"/>
        <v>6</v>
      </c>
      <c r="AE13" s="1">
        <f t="shared" si="3"/>
        <v>6</v>
      </c>
      <c r="AF13" s="1">
        <f t="shared" si="3"/>
        <v>6</v>
      </c>
      <c r="AG13" s="1">
        <f t="shared" si="3"/>
        <v>6</v>
      </c>
      <c r="AH13" s="1">
        <f t="shared" si="3"/>
        <v>6</v>
      </c>
      <c r="AI13" s="1">
        <f t="shared" si="3"/>
        <v>6</v>
      </c>
      <c r="AJ13" s="1">
        <f t="shared" si="3"/>
        <v>0</v>
      </c>
      <c r="AK13" s="1">
        <f t="shared" si="3"/>
        <v>0</v>
      </c>
      <c r="AL13" s="1">
        <f t="shared" si="3"/>
        <v>0</v>
      </c>
      <c r="AM13" s="1">
        <f t="shared" si="3"/>
        <v>0</v>
      </c>
    </row>
    <row r="14" spans="1:44" x14ac:dyDescent="0.25">
      <c r="A14" s="1">
        <v>9</v>
      </c>
      <c r="B14" s="2" t="s">
        <v>13</v>
      </c>
      <c r="C14" s="3" t="s">
        <v>18</v>
      </c>
      <c r="D14" s="1">
        <v>2</v>
      </c>
      <c r="E14" s="1">
        <v>580</v>
      </c>
      <c r="F14" s="1">
        <v>3</v>
      </c>
      <c r="G14" s="8">
        <f>H13+1</f>
        <v>45441</v>
      </c>
      <c r="H14" s="8">
        <f t="shared" si="1"/>
        <v>45443</v>
      </c>
      <c r="I14" s="8">
        <f t="shared" si="2"/>
        <v>45441</v>
      </c>
      <c r="J14" s="8">
        <f>I16-1</f>
        <v>45443</v>
      </c>
      <c r="L14" s="1">
        <f t="shared" si="4"/>
        <v>0</v>
      </c>
      <c r="M14" s="1" t="str">
        <f t="shared" si="5"/>
        <v>CRITICA</v>
      </c>
      <c r="N14" s="1">
        <f t="shared" si="6"/>
        <v>3</v>
      </c>
      <c r="P14" s="1">
        <f t="shared" si="7"/>
        <v>0</v>
      </c>
      <c r="Q14" s="1">
        <f t="shared" si="3"/>
        <v>0</v>
      </c>
      <c r="R14" s="1">
        <f t="shared" si="3"/>
        <v>0</v>
      </c>
      <c r="S14" s="1">
        <f t="shared" si="3"/>
        <v>0</v>
      </c>
      <c r="T14" s="1">
        <f t="shared" si="3"/>
        <v>0</v>
      </c>
      <c r="U14" s="1">
        <f t="shared" si="3"/>
        <v>0</v>
      </c>
      <c r="V14" s="1">
        <f t="shared" si="3"/>
        <v>0</v>
      </c>
      <c r="W14" s="1">
        <f t="shared" si="3"/>
        <v>0</v>
      </c>
      <c r="X14" s="1">
        <f t="shared" si="3"/>
        <v>0</v>
      </c>
      <c r="Y14" s="1">
        <f t="shared" si="3"/>
        <v>0</v>
      </c>
      <c r="Z14" s="1">
        <f t="shared" si="3"/>
        <v>0</v>
      </c>
      <c r="AA14" s="1">
        <f t="shared" si="3"/>
        <v>0</v>
      </c>
      <c r="AB14" s="1">
        <f t="shared" si="3"/>
        <v>0</v>
      </c>
      <c r="AC14" s="1">
        <f t="shared" si="3"/>
        <v>0</v>
      </c>
      <c r="AD14" s="1">
        <f t="shared" si="3"/>
        <v>0</v>
      </c>
      <c r="AE14" s="1">
        <f t="shared" si="3"/>
        <v>0</v>
      </c>
      <c r="AF14" s="1">
        <f t="shared" si="3"/>
        <v>0</v>
      </c>
      <c r="AG14" s="1">
        <f t="shared" si="3"/>
        <v>0</v>
      </c>
      <c r="AH14" s="1">
        <f t="shared" si="3"/>
        <v>0</v>
      </c>
      <c r="AI14" s="1">
        <f t="shared" si="3"/>
        <v>0</v>
      </c>
      <c r="AJ14" s="1">
        <f t="shared" si="3"/>
        <v>2</v>
      </c>
      <c r="AK14" s="1">
        <f t="shared" si="3"/>
        <v>2</v>
      </c>
      <c r="AL14" s="1">
        <f t="shared" si="3"/>
        <v>2</v>
      </c>
      <c r="AM14" s="1">
        <f t="shared" si="3"/>
        <v>0</v>
      </c>
    </row>
    <row r="15" spans="1:44" x14ac:dyDescent="0.25">
      <c r="A15" s="1">
        <v>10</v>
      </c>
      <c r="B15" s="2" t="s">
        <v>14</v>
      </c>
      <c r="C15" s="3" t="s">
        <v>18</v>
      </c>
      <c r="D15" s="1">
        <v>5</v>
      </c>
      <c r="E15" s="1">
        <v>430</v>
      </c>
      <c r="F15" s="1">
        <v>1</v>
      </c>
      <c r="G15" s="8">
        <f>H13+1</f>
        <v>45441</v>
      </c>
      <c r="H15" s="8">
        <f t="shared" si="1"/>
        <v>45441</v>
      </c>
      <c r="I15" s="8">
        <f t="shared" si="2"/>
        <v>45443</v>
      </c>
      <c r="J15" s="8">
        <f>I16-1</f>
        <v>45443</v>
      </c>
      <c r="L15" s="1">
        <f t="shared" si="4"/>
        <v>2</v>
      </c>
      <c r="M15" s="1" t="str">
        <f t="shared" si="5"/>
        <v>NON CRITICA</v>
      </c>
      <c r="N15" s="1">
        <f t="shared" si="6"/>
        <v>0</v>
      </c>
      <c r="P15" s="1">
        <f t="shared" si="7"/>
        <v>0</v>
      </c>
      <c r="Q15" s="1">
        <f t="shared" si="3"/>
        <v>0</v>
      </c>
      <c r="R15" s="1">
        <f t="shared" si="3"/>
        <v>0</v>
      </c>
      <c r="S15" s="1">
        <f t="shared" si="3"/>
        <v>0</v>
      </c>
      <c r="T15" s="1">
        <f t="shared" si="3"/>
        <v>0</v>
      </c>
      <c r="U15" s="1">
        <f t="shared" si="3"/>
        <v>0</v>
      </c>
      <c r="V15" s="1">
        <f t="shared" si="3"/>
        <v>0</v>
      </c>
      <c r="W15" s="1">
        <f t="shared" si="3"/>
        <v>0</v>
      </c>
      <c r="X15" s="1">
        <f t="shared" si="3"/>
        <v>0</v>
      </c>
      <c r="Y15" s="1">
        <f t="shared" si="3"/>
        <v>0</v>
      </c>
      <c r="Z15" s="1">
        <f t="shared" si="3"/>
        <v>0</v>
      </c>
      <c r="AA15" s="1">
        <f t="shared" si="3"/>
        <v>0</v>
      </c>
      <c r="AB15" s="1">
        <f t="shared" si="3"/>
        <v>0</v>
      </c>
      <c r="AC15" s="1">
        <f t="shared" si="3"/>
        <v>0</v>
      </c>
      <c r="AD15" s="1">
        <f t="shared" si="3"/>
        <v>0</v>
      </c>
      <c r="AE15" s="1">
        <f t="shared" si="3"/>
        <v>0</v>
      </c>
      <c r="AF15" s="1">
        <f t="shared" si="3"/>
        <v>0</v>
      </c>
      <c r="AG15" s="1">
        <f t="shared" si="3"/>
        <v>0</v>
      </c>
      <c r="AH15" s="1">
        <f t="shared" si="3"/>
        <v>0</v>
      </c>
      <c r="AI15" s="1">
        <f t="shared" si="3"/>
        <v>0</v>
      </c>
      <c r="AJ15" s="1">
        <f t="shared" si="3"/>
        <v>5</v>
      </c>
      <c r="AK15" s="1">
        <f t="shared" si="3"/>
        <v>0</v>
      </c>
      <c r="AL15" s="1">
        <f t="shared" si="3"/>
        <v>0</v>
      </c>
      <c r="AM15" s="1">
        <f t="shared" si="3"/>
        <v>0</v>
      </c>
    </row>
    <row r="16" spans="1:44" x14ac:dyDescent="0.25">
      <c r="A16" s="1">
        <v>11</v>
      </c>
      <c r="B16" s="2" t="s">
        <v>15</v>
      </c>
      <c r="C16" s="3" t="s">
        <v>19</v>
      </c>
      <c r="D16" s="1">
        <v>8</v>
      </c>
      <c r="E16" s="1">
        <v>280</v>
      </c>
      <c r="F16" s="1">
        <v>1</v>
      </c>
      <c r="G16" s="8">
        <f>MAX(H14:H15)+1</f>
        <v>45444</v>
      </c>
      <c r="H16" s="8">
        <f t="shared" si="1"/>
        <v>45444</v>
      </c>
      <c r="I16" s="8">
        <f t="shared" si="2"/>
        <v>45444</v>
      </c>
      <c r="J16" s="8">
        <f>H16</f>
        <v>45444</v>
      </c>
      <c r="L16" s="1">
        <f t="shared" si="4"/>
        <v>0</v>
      </c>
      <c r="M16" s="1" t="str">
        <f t="shared" si="5"/>
        <v>CRITICA</v>
      </c>
      <c r="N16" s="1">
        <f t="shared" si="6"/>
        <v>1</v>
      </c>
      <c r="P16" s="1">
        <f t="shared" si="7"/>
        <v>0</v>
      </c>
      <c r="Q16" s="1">
        <f t="shared" si="3"/>
        <v>0</v>
      </c>
      <c r="R16" s="1">
        <f t="shared" si="3"/>
        <v>0</v>
      </c>
      <c r="S16" s="1">
        <f t="shared" si="3"/>
        <v>0</v>
      </c>
      <c r="T16" s="1">
        <f t="shared" si="3"/>
        <v>0</v>
      </c>
      <c r="U16" s="1">
        <f t="shared" si="3"/>
        <v>0</v>
      </c>
      <c r="V16" s="1">
        <f t="shared" si="3"/>
        <v>0</v>
      </c>
      <c r="W16" s="1">
        <f t="shared" si="3"/>
        <v>0</v>
      </c>
      <c r="X16" s="1">
        <f t="shared" si="3"/>
        <v>0</v>
      </c>
      <c r="Y16" s="1">
        <f t="shared" si="3"/>
        <v>0</v>
      </c>
      <c r="Z16" s="1">
        <f t="shared" si="3"/>
        <v>0</v>
      </c>
      <c r="AA16" s="1">
        <f t="shared" si="3"/>
        <v>0</v>
      </c>
      <c r="AB16" s="1">
        <f t="shared" si="3"/>
        <v>0</v>
      </c>
      <c r="AC16" s="1">
        <f t="shared" si="3"/>
        <v>0</v>
      </c>
      <c r="AD16" s="1">
        <f t="shared" si="3"/>
        <v>0</v>
      </c>
      <c r="AE16" s="1">
        <f t="shared" si="3"/>
        <v>0</v>
      </c>
      <c r="AF16" s="1">
        <f t="shared" si="3"/>
        <v>0</v>
      </c>
      <c r="AG16" s="1">
        <f t="shared" si="3"/>
        <v>0</v>
      </c>
      <c r="AH16" s="1">
        <f t="shared" si="3"/>
        <v>0</v>
      </c>
      <c r="AI16" s="1">
        <f t="shared" si="3"/>
        <v>0</v>
      </c>
      <c r="AJ16" s="1">
        <f t="shared" si="3"/>
        <v>0</v>
      </c>
      <c r="AK16" s="1">
        <f t="shared" si="3"/>
        <v>0</v>
      </c>
      <c r="AL16" s="1">
        <f t="shared" si="3"/>
        <v>0</v>
      </c>
      <c r="AM16" s="1">
        <f t="shared" si="3"/>
        <v>8</v>
      </c>
    </row>
    <row r="17" spans="1:44" x14ac:dyDescent="0.25">
      <c r="N17" s="1">
        <f>SUM(N5:N16)</f>
        <v>24</v>
      </c>
      <c r="P17" s="16">
        <f>SUM(P6:P16)</f>
        <v>8</v>
      </c>
      <c r="Q17" s="16">
        <f t="shared" ref="Q17:AM17" si="8">SUM(Q6:Q16)</f>
        <v>8</v>
      </c>
      <c r="R17" s="16">
        <f t="shared" si="8"/>
        <v>6</v>
      </c>
      <c r="S17" s="16">
        <f t="shared" si="8"/>
        <v>6</v>
      </c>
      <c r="T17" s="16">
        <f t="shared" si="8"/>
        <v>11</v>
      </c>
      <c r="U17" s="16">
        <f t="shared" si="8"/>
        <v>3</v>
      </c>
      <c r="V17" s="16">
        <f t="shared" si="8"/>
        <v>7</v>
      </c>
      <c r="W17" s="16">
        <f t="shared" si="8"/>
        <v>7</v>
      </c>
      <c r="X17" s="16">
        <f t="shared" si="8"/>
        <v>7</v>
      </c>
      <c r="Y17" s="16">
        <f t="shared" si="8"/>
        <v>2</v>
      </c>
      <c r="Z17" s="16">
        <f t="shared" si="8"/>
        <v>2</v>
      </c>
      <c r="AA17" s="16">
        <f t="shared" si="8"/>
        <v>2</v>
      </c>
      <c r="AB17" s="16">
        <f t="shared" si="8"/>
        <v>2</v>
      </c>
      <c r="AC17" s="16">
        <f t="shared" si="8"/>
        <v>4</v>
      </c>
      <c r="AD17" s="16">
        <f t="shared" si="8"/>
        <v>6</v>
      </c>
      <c r="AE17" s="16">
        <f t="shared" si="8"/>
        <v>6</v>
      </c>
      <c r="AF17" s="16">
        <f t="shared" si="8"/>
        <v>6</v>
      </c>
      <c r="AG17" s="16">
        <f t="shared" si="8"/>
        <v>6</v>
      </c>
      <c r="AH17" s="16">
        <f t="shared" si="8"/>
        <v>6</v>
      </c>
      <c r="AI17" s="16">
        <f t="shared" si="8"/>
        <v>6</v>
      </c>
      <c r="AJ17" s="16">
        <f t="shared" si="8"/>
        <v>7</v>
      </c>
      <c r="AK17" s="16">
        <f t="shared" si="8"/>
        <v>2</v>
      </c>
      <c r="AL17" s="16">
        <f t="shared" si="8"/>
        <v>2</v>
      </c>
      <c r="AM17" s="16">
        <f t="shared" si="8"/>
        <v>8</v>
      </c>
      <c r="AO17" t="s">
        <v>36</v>
      </c>
    </row>
    <row r="18" spans="1:44" x14ac:dyDescent="0.25">
      <c r="P18" s="17">
        <f>P6*$E$6+P7*$E$7+P8*$E$8+P9*$E$9+P10*$E$10+P11*$E$11+P12*$E$12+P13*$E$13+P14*$E$14+P15*$E$15+P16*$E$16</f>
        <v>2050</v>
      </c>
      <c r="Q18" s="17">
        <f t="shared" ref="Q18:AM18" si="9">Q6*$E$6+Q7*$E$7+Q8*$E$8+Q9*$E$9+Q10*$E$10+Q11*$E$11+Q12*$E$12+Q13*$E$13+Q14*$E$14+Q15*$E$15+Q16*$E$16</f>
        <v>2050</v>
      </c>
      <c r="R18" s="17">
        <f t="shared" si="9"/>
        <v>1470</v>
      </c>
      <c r="S18" s="17">
        <f t="shared" si="9"/>
        <v>1470</v>
      </c>
      <c r="T18" s="17">
        <f t="shared" si="9"/>
        <v>1660</v>
      </c>
      <c r="U18" s="17">
        <f t="shared" si="9"/>
        <v>300</v>
      </c>
      <c r="V18" s="17">
        <f t="shared" si="9"/>
        <v>910</v>
      </c>
      <c r="W18" s="17">
        <f t="shared" si="9"/>
        <v>910</v>
      </c>
      <c r="X18" s="17">
        <f t="shared" si="9"/>
        <v>910</v>
      </c>
      <c r="Y18" s="17">
        <f t="shared" si="9"/>
        <v>400</v>
      </c>
      <c r="Z18" s="17">
        <f t="shared" si="9"/>
        <v>400</v>
      </c>
      <c r="AA18" s="17">
        <f t="shared" si="9"/>
        <v>400</v>
      </c>
      <c r="AB18" s="17">
        <f t="shared" si="9"/>
        <v>400</v>
      </c>
      <c r="AC18" s="17">
        <f t="shared" si="9"/>
        <v>1920</v>
      </c>
      <c r="AD18" s="17">
        <f t="shared" si="9"/>
        <v>2040</v>
      </c>
      <c r="AE18" s="17">
        <f t="shared" si="9"/>
        <v>2040</v>
      </c>
      <c r="AF18" s="17">
        <f t="shared" si="9"/>
        <v>2040</v>
      </c>
      <c r="AG18" s="17">
        <f t="shared" si="9"/>
        <v>2040</v>
      </c>
      <c r="AH18" s="17">
        <f t="shared" si="9"/>
        <v>2040</v>
      </c>
      <c r="AI18" s="17">
        <f t="shared" si="9"/>
        <v>2040</v>
      </c>
      <c r="AJ18" s="17">
        <f t="shared" si="9"/>
        <v>3310</v>
      </c>
      <c r="AK18" s="17">
        <f t="shared" si="9"/>
        <v>1160</v>
      </c>
      <c r="AL18" s="17">
        <f t="shared" si="9"/>
        <v>1160</v>
      </c>
      <c r="AM18" s="22">
        <f t="shared" si="9"/>
        <v>2240</v>
      </c>
      <c r="AN18" s="17">
        <f>SUM(P18:AM18)</f>
        <v>35360</v>
      </c>
      <c r="AO18" s="9" t="s">
        <v>37</v>
      </c>
    </row>
    <row r="21" spans="1:44" x14ac:dyDescent="0.25">
      <c r="G21" s="23" t="s">
        <v>30</v>
      </c>
      <c r="H21" s="23"/>
      <c r="I21" s="23" t="s">
        <v>31</v>
      </c>
      <c r="J21" s="24"/>
      <c r="P21" s="25" t="s">
        <v>31</v>
      </c>
      <c r="Q21" s="25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1:44" x14ac:dyDescent="0.25">
      <c r="A22" s="2" t="s">
        <v>1</v>
      </c>
      <c r="B22" s="2" t="s">
        <v>2</v>
      </c>
      <c r="C22" s="2" t="s">
        <v>3</v>
      </c>
      <c r="D22" s="1" t="s">
        <v>36</v>
      </c>
      <c r="E22" s="1" t="s">
        <v>37</v>
      </c>
      <c r="F22" s="1" t="s">
        <v>4</v>
      </c>
      <c r="G22" s="1" t="s">
        <v>25</v>
      </c>
      <c r="H22" s="1" t="s">
        <v>26</v>
      </c>
      <c r="I22" s="1" t="s">
        <v>25</v>
      </c>
      <c r="J22" s="1" t="s">
        <v>26</v>
      </c>
      <c r="L22" s="1" t="s">
        <v>32</v>
      </c>
      <c r="M22" s="1" t="s">
        <v>33</v>
      </c>
      <c r="N22" s="1" t="s">
        <v>4</v>
      </c>
      <c r="P22" s="14">
        <f>B2</f>
        <v>45421</v>
      </c>
      <c r="Q22" s="14">
        <f>P22+1</f>
        <v>45422</v>
      </c>
      <c r="R22" s="14">
        <f t="shared" ref="R22:AM22" si="10">Q22+1</f>
        <v>45423</v>
      </c>
      <c r="S22" s="14">
        <f t="shared" si="10"/>
        <v>45424</v>
      </c>
      <c r="T22" s="14">
        <f t="shared" si="10"/>
        <v>45425</v>
      </c>
      <c r="U22" s="14">
        <f t="shared" si="10"/>
        <v>45426</v>
      </c>
      <c r="V22" s="14">
        <f t="shared" si="10"/>
        <v>45427</v>
      </c>
      <c r="W22" s="14">
        <f t="shared" si="10"/>
        <v>45428</v>
      </c>
      <c r="X22" s="14">
        <f t="shared" si="10"/>
        <v>45429</v>
      </c>
      <c r="Y22" s="14">
        <f t="shared" si="10"/>
        <v>45430</v>
      </c>
      <c r="Z22" s="14">
        <f t="shared" si="10"/>
        <v>45431</v>
      </c>
      <c r="AA22" s="14">
        <f t="shared" si="10"/>
        <v>45432</v>
      </c>
      <c r="AB22" s="14">
        <f t="shared" si="10"/>
        <v>45433</v>
      </c>
      <c r="AC22" s="14">
        <f t="shared" si="10"/>
        <v>45434</v>
      </c>
      <c r="AD22" s="14">
        <f t="shared" si="10"/>
        <v>45435</v>
      </c>
      <c r="AE22" s="14">
        <f t="shared" si="10"/>
        <v>45436</v>
      </c>
      <c r="AF22" s="14">
        <f t="shared" si="10"/>
        <v>45437</v>
      </c>
      <c r="AG22" s="14">
        <f t="shared" si="10"/>
        <v>45438</v>
      </c>
      <c r="AH22" s="14">
        <f t="shared" si="10"/>
        <v>45439</v>
      </c>
      <c r="AI22" s="14">
        <f t="shared" si="10"/>
        <v>45440</v>
      </c>
      <c r="AJ22" s="14">
        <f t="shared" si="10"/>
        <v>45441</v>
      </c>
      <c r="AK22" s="14">
        <f t="shared" si="10"/>
        <v>45442</v>
      </c>
      <c r="AL22" s="14">
        <f t="shared" si="10"/>
        <v>45443</v>
      </c>
      <c r="AM22" s="14">
        <f t="shared" si="10"/>
        <v>45444</v>
      </c>
    </row>
    <row r="23" spans="1:44" x14ac:dyDescent="0.25">
      <c r="A23" s="10" t="s">
        <v>28</v>
      </c>
      <c r="B23" s="11" t="s">
        <v>29</v>
      </c>
      <c r="C23" s="10" t="s">
        <v>20</v>
      </c>
      <c r="D23" s="10"/>
      <c r="E23" s="10"/>
      <c r="F23" s="10">
        <v>0</v>
      </c>
      <c r="G23" s="12">
        <f>B2</f>
        <v>45421</v>
      </c>
      <c r="H23" s="12">
        <f>B2</f>
        <v>45421</v>
      </c>
      <c r="I23" s="13">
        <f>I24</f>
        <v>45421</v>
      </c>
      <c r="J23" s="13">
        <f>I24</f>
        <v>45421</v>
      </c>
      <c r="L23" s="1">
        <v>0</v>
      </c>
      <c r="M23" s="1" t="s">
        <v>20</v>
      </c>
      <c r="N23" s="1">
        <v>0</v>
      </c>
      <c r="P23" s="15"/>
      <c r="Q23" s="15"/>
      <c r="R23" s="15"/>
      <c r="S23" s="15"/>
      <c r="T23" s="15"/>
      <c r="U23" s="15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spans="1:44" x14ac:dyDescent="0.25">
      <c r="A24" s="5">
        <v>1</v>
      </c>
      <c r="B24" s="6" t="s">
        <v>5</v>
      </c>
      <c r="C24" s="7" t="s">
        <v>20</v>
      </c>
      <c r="D24" s="1">
        <v>3</v>
      </c>
      <c r="E24" s="1">
        <v>100</v>
      </c>
      <c r="F24" s="5">
        <v>6</v>
      </c>
      <c r="G24" s="8">
        <f>B2</f>
        <v>45421</v>
      </c>
      <c r="H24" s="8">
        <f t="shared" ref="H24:H34" si="11">G24+F24-1</f>
        <v>45426</v>
      </c>
      <c r="I24" s="8">
        <f t="shared" ref="I24:I34" si="12">J24-F24+1</f>
        <v>45421</v>
      </c>
      <c r="J24" s="8">
        <f>I26-1</f>
        <v>45426</v>
      </c>
      <c r="L24" s="1">
        <f>J24-H24</f>
        <v>0</v>
      </c>
      <c r="M24" s="1" t="str">
        <f>IF(L24=0,"CRITICA","NON CRITICA")</f>
        <v>CRITICA</v>
      </c>
      <c r="N24" s="1">
        <f>IF(M24="CRITICA",F24,0)</f>
        <v>6</v>
      </c>
      <c r="P24" s="1">
        <f>IF(AND(P$22&gt;=$I6,P$22&lt;=$J6),$D24,0)</f>
        <v>3</v>
      </c>
      <c r="Q24" s="1">
        <f t="shared" ref="Q24:AM34" si="13">IF(AND(Q$22&gt;=$I6,Q$22&lt;=$J6),$D24,0)</f>
        <v>3</v>
      </c>
      <c r="R24" s="1">
        <f t="shared" si="13"/>
        <v>3</v>
      </c>
      <c r="S24" s="1">
        <f t="shared" si="13"/>
        <v>3</v>
      </c>
      <c r="T24" s="1">
        <f t="shared" si="13"/>
        <v>3</v>
      </c>
      <c r="U24" s="1">
        <f t="shared" si="13"/>
        <v>3</v>
      </c>
      <c r="V24" s="1">
        <f t="shared" si="13"/>
        <v>0</v>
      </c>
      <c r="W24" s="1">
        <f t="shared" si="13"/>
        <v>0</v>
      </c>
      <c r="X24" s="1">
        <f t="shared" si="13"/>
        <v>0</v>
      </c>
      <c r="Y24" s="1">
        <f t="shared" si="13"/>
        <v>0</v>
      </c>
      <c r="Z24" s="1">
        <f t="shared" si="13"/>
        <v>0</v>
      </c>
      <c r="AA24" s="1">
        <f t="shared" si="13"/>
        <v>0</v>
      </c>
      <c r="AB24" s="1">
        <f t="shared" si="13"/>
        <v>0</v>
      </c>
      <c r="AC24" s="1">
        <f t="shared" si="13"/>
        <v>0</v>
      </c>
      <c r="AD24" s="1">
        <f t="shared" si="13"/>
        <v>0</v>
      </c>
      <c r="AE24" s="1">
        <f t="shared" si="13"/>
        <v>0</v>
      </c>
      <c r="AF24" s="1">
        <f t="shared" si="13"/>
        <v>0</v>
      </c>
      <c r="AG24" s="1">
        <f t="shared" si="13"/>
        <v>0</v>
      </c>
      <c r="AH24" s="1">
        <f t="shared" si="13"/>
        <v>0</v>
      </c>
      <c r="AI24" s="1">
        <f t="shared" si="13"/>
        <v>0</v>
      </c>
      <c r="AJ24" s="1">
        <f t="shared" si="13"/>
        <v>0</v>
      </c>
      <c r="AK24" s="1">
        <f t="shared" si="13"/>
        <v>0</v>
      </c>
      <c r="AL24" s="1">
        <f t="shared" si="13"/>
        <v>0</v>
      </c>
      <c r="AM24" s="1">
        <f t="shared" si="13"/>
        <v>0</v>
      </c>
      <c r="AO24" s="18" t="s">
        <v>38</v>
      </c>
      <c r="AP24" s="1">
        <f>MAX(P35:AM35)</f>
        <v>12</v>
      </c>
      <c r="AQ24" s="18" t="s">
        <v>40</v>
      </c>
      <c r="AR24" s="8">
        <f ca="1">OFFSET(P22,0,MATCH(AP24,P35:AM35,0))</f>
        <v>45430</v>
      </c>
    </row>
    <row r="25" spans="1:44" x14ac:dyDescent="0.25">
      <c r="A25" s="1">
        <v>2</v>
      </c>
      <c r="B25" s="2" t="s">
        <v>6</v>
      </c>
      <c r="C25" s="3" t="s">
        <v>20</v>
      </c>
      <c r="D25" s="1">
        <v>5</v>
      </c>
      <c r="E25" s="1">
        <v>350</v>
      </c>
      <c r="F25" s="1">
        <v>2</v>
      </c>
      <c r="G25" s="8">
        <f>B2</f>
        <v>45421</v>
      </c>
      <c r="H25" s="8">
        <f t="shared" si="11"/>
        <v>45422</v>
      </c>
      <c r="I25" s="8">
        <f t="shared" si="12"/>
        <v>45429</v>
      </c>
      <c r="J25" s="8">
        <f>I27-1</f>
        <v>45430</v>
      </c>
      <c r="L25" s="1">
        <f t="shared" ref="L25:L34" si="14">J25-H25</f>
        <v>8</v>
      </c>
      <c r="M25" s="1" t="str">
        <f t="shared" ref="M25:M34" si="15">IF(L25=0,"CRITICA","NON CRITICA")</f>
        <v>NON CRITICA</v>
      </c>
      <c r="N25" s="1">
        <f t="shared" ref="N25:N34" si="16">IF(M25="CRITICA",F25,0)</f>
        <v>0</v>
      </c>
      <c r="P25" s="1">
        <f t="shared" ref="P25:AE34" si="17">IF(AND(P$22&gt;=$I7,P$22&lt;=$J7),$D25,0)</f>
        <v>0</v>
      </c>
      <c r="Q25" s="1">
        <f t="shared" si="17"/>
        <v>0</v>
      </c>
      <c r="R25" s="1">
        <f t="shared" si="17"/>
        <v>0</v>
      </c>
      <c r="S25" s="1">
        <f t="shared" si="17"/>
        <v>0</v>
      </c>
      <c r="T25" s="1">
        <f t="shared" si="17"/>
        <v>0</v>
      </c>
      <c r="U25" s="1">
        <f t="shared" si="17"/>
        <v>0</v>
      </c>
      <c r="V25" s="1">
        <f t="shared" si="17"/>
        <v>0</v>
      </c>
      <c r="W25" s="1">
        <f t="shared" si="17"/>
        <v>0</v>
      </c>
      <c r="X25" s="1">
        <f t="shared" si="17"/>
        <v>5</v>
      </c>
      <c r="Y25" s="1">
        <f t="shared" si="17"/>
        <v>5</v>
      </c>
      <c r="Z25" s="1">
        <f t="shared" si="17"/>
        <v>0</v>
      </c>
      <c r="AA25" s="1">
        <f t="shared" si="17"/>
        <v>0</v>
      </c>
      <c r="AB25" s="1">
        <f t="shared" si="17"/>
        <v>0</v>
      </c>
      <c r="AC25" s="1">
        <f t="shared" si="17"/>
        <v>0</v>
      </c>
      <c r="AD25" s="1">
        <f t="shared" si="17"/>
        <v>0</v>
      </c>
      <c r="AE25" s="1">
        <f t="shared" si="17"/>
        <v>0</v>
      </c>
      <c r="AF25" s="1">
        <f t="shared" si="13"/>
        <v>0</v>
      </c>
      <c r="AG25" s="1">
        <f t="shared" si="13"/>
        <v>0</v>
      </c>
      <c r="AH25" s="1">
        <f t="shared" si="13"/>
        <v>0</v>
      </c>
      <c r="AI25" s="1">
        <f t="shared" si="13"/>
        <v>0</v>
      </c>
      <c r="AJ25" s="1">
        <f t="shared" si="13"/>
        <v>0</v>
      </c>
      <c r="AK25" s="1">
        <f t="shared" si="13"/>
        <v>0</v>
      </c>
      <c r="AL25" s="1">
        <f t="shared" si="13"/>
        <v>0</v>
      </c>
      <c r="AM25" s="1">
        <f t="shared" si="13"/>
        <v>0</v>
      </c>
      <c r="AO25" s="18" t="s">
        <v>39</v>
      </c>
      <c r="AP25" s="1">
        <f>MIN(P35:AM35)</f>
        <v>2</v>
      </c>
      <c r="AQ25" s="18" t="s">
        <v>40</v>
      </c>
      <c r="AR25" s="8">
        <f ca="1">OFFSET(P22,0,MATCH(AP25,P35:AM35,0))</f>
        <v>45442</v>
      </c>
    </row>
    <row r="26" spans="1:44" x14ac:dyDescent="0.25">
      <c r="A26" s="1">
        <v>3</v>
      </c>
      <c r="B26" s="2" t="s">
        <v>7</v>
      </c>
      <c r="C26" s="3">
        <v>1</v>
      </c>
      <c r="D26" s="1">
        <v>7</v>
      </c>
      <c r="E26" s="1">
        <v>130</v>
      </c>
      <c r="F26" s="1">
        <v>3</v>
      </c>
      <c r="G26" s="8">
        <f>H24+1</f>
        <v>45427</v>
      </c>
      <c r="H26" s="8">
        <f t="shared" si="11"/>
        <v>45429</v>
      </c>
      <c r="I26" s="8">
        <f t="shared" si="12"/>
        <v>45427</v>
      </c>
      <c r="J26" s="8">
        <f>I28-1</f>
        <v>45429</v>
      </c>
      <c r="L26" s="1">
        <f t="shared" si="14"/>
        <v>0</v>
      </c>
      <c r="M26" s="1" t="str">
        <f t="shared" si="15"/>
        <v>CRITICA</v>
      </c>
      <c r="N26" s="1">
        <f t="shared" si="16"/>
        <v>3</v>
      </c>
      <c r="P26" s="1">
        <f t="shared" si="17"/>
        <v>0</v>
      </c>
      <c r="Q26" s="1">
        <f t="shared" si="13"/>
        <v>0</v>
      </c>
      <c r="R26" s="1">
        <f t="shared" si="13"/>
        <v>0</v>
      </c>
      <c r="S26" s="1">
        <f t="shared" si="13"/>
        <v>0</v>
      </c>
      <c r="T26" s="1">
        <f t="shared" si="13"/>
        <v>0</v>
      </c>
      <c r="U26" s="1">
        <f t="shared" si="13"/>
        <v>0</v>
      </c>
      <c r="V26" s="1">
        <f t="shared" si="13"/>
        <v>7</v>
      </c>
      <c r="W26" s="1">
        <f t="shared" si="13"/>
        <v>7</v>
      </c>
      <c r="X26" s="1">
        <f t="shared" si="13"/>
        <v>7</v>
      </c>
      <c r="Y26" s="1">
        <f t="shared" si="13"/>
        <v>0</v>
      </c>
      <c r="Z26" s="1">
        <f t="shared" si="13"/>
        <v>0</v>
      </c>
      <c r="AA26" s="1">
        <f t="shared" si="13"/>
        <v>0</v>
      </c>
      <c r="AB26" s="1">
        <f t="shared" si="13"/>
        <v>0</v>
      </c>
      <c r="AC26" s="1">
        <f t="shared" si="13"/>
        <v>0</v>
      </c>
      <c r="AD26" s="1">
        <f t="shared" si="13"/>
        <v>0</v>
      </c>
      <c r="AE26" s="1">
        <f t="shared" si="13"/>
        <v>0</v>
      </c>
      <c r="AF26" s="1">
        <f t="shared" si="13"/>
        <v>0</v>
      </c>
      <c r="AG26" s="1">
        <f t="shared" si="13"/>
        <v>0</v>
      </c>
      <c r="AH26" s="1">
        <f t="shared" si="13"/>
        <v>0</v>
      </c>
      <c r="AI26" s="1">
        <f t="shared" si="13"/>
        <v>0</v>
      </c>
      <c r="AJ26" s="1">
        <f t="shared" si="13"/>
        <v>0</v>
      </c>
      <c r="AK26" s="1">
        <f t="shared" si="13"/>
        <v>0</v>
      </c>
      <c r="AL26" s="1">
        <f t="shared" si="13"/>
        <v>0</v>
      </c>
      <c r="AM26" s="1">
        <f t="shared" si="13"/>
        <v>0</v>
      </c>
    </row>
    <row r="27" spans="1:44" x14ac:dyDescent="0.25">
      <c r="A27" s="1">
        <v>4</v>
      </c>
      <c r="B27" s="2" t="s">
        <v>8</v>
      </c>
      <c r="C27" s="3">
        <v>2</v>
      </c>
      <c r="D27" s="1">
        <v>3</v>
      </c>
      <c r="E27" s="1">
        <v>390</v>
      </c>
      <c r="F27" s="1">
        <v>2</v>
      </c>
      <c r="G27" s="8">
        <f>H25+1</f>
        <v>45423</v>
      </c>
      <c r="H27" s="8">
        <f t="shared" si="11"/>
        <v>45424</v>
      </c>
      <c r="I27" s="8">
        <f t="shared" si="12"/>
        <v>45431</v>
      </c>
      <c r="J27" s="8">
        <f>I29-1</f>
        <v>45432</v>
      </c>
      <c r="L27" s="1">
        <f t="shared" si="14"/>
        <v>8</v>
      </c>
      <c r="M27" s="1" t="str">
        <f t="shared" si="15"/>
        <v>NON CRITICA</v>
      </c>
      <c r="N27" s="1">
        <f t="shared" si="16"/>
        <v>0</v>
      </c>
      <c r="P27" s="1">
        <f t="shared" si="17"/>
        <v>0</v>
      </c>
      <c r="Q27" s="1">
        <f t="shared" si="13"/>
        <v>0</v>
      </c>
      <c r="R27" s="1">
        <f t="shared" si="13"/>
        <v>0</v>
      </c>
      <c r="S27" s="1">
        <f t="shared" si="13"/>
        <v>0</v>
      </c>
      <c r="T27" s="1">
        <f t="shared" si="13"/>
        <v>0</v>
      </c>
      <c r="U27" s="1">
        <f t="shared" si="13"/>
        <v>0</v>
      </c>
      <c r="V27" s="1">
        <f t="shared" si="13"/>
        <v>0</v>
      </c>
      <c r="W27" s="1">
        <f t="shared" si="13"/>
        <v>0</v>
      </c>
      <c r="X27" s="1">
        <f t="shared" si="13"/>
        <v>0</v>
      </c>
      <c r="Y27" s="1">
        <f t="shared" si="13"/>
        <v>0</v>
      </c>
      <c r="Z27" s="1">
        <f t="shared" si="13"/>
        <v>3</v>
      </c>
      <c r="AA27" s="1">
        <f t="shared" si="13"/>
        <v>3</v>
      </c>
      <c r="AB27" s="1">
        <f t="shared" si="13"/>
        <v>0</v>
      </c>
      <c r="AC27" s="1">
        <f t="shared" si="13"/>
        <v>0</v>
      </c>
      <c r="AD27" s="1">
        <f t="shared" si="13"/>
        <v>0</v>
      </c>
      <c r="AE27" s="1">
        <f t="shared" si="13"/>
        <v>0</v>
      </c>
      <c r="AF27" s="1">
        <f t="shared" si="13"/>
        <v>0</v>
      </c>
      <c r="AG27" s="1">
        <f t="shared" si="13"/>
        <v>0</v>
      </c>
      <c r="AH27" s="1">
        <f t="shared" si="13"/>
        <v>0</v>
      </c>
      <c r="AI27" s="1">
        <f t="shared" si="13"/>
        <v>0</v>
      </c>
      <c r="AJ27" s="1">
        <f t="shared" si="13"/>
        <v>0</v>
      </c>
      <c r="AK27" s="1">
        <f t="shared" si="13"/>
        <v>0</v>
      </c>
      <c r="AL27" s="1">
        <f t="shared" si="13"/>
        <v>0</v>
      </c>
      <c r="AM27" s="1">
        <f t="shared" si="13"/>
        <v>0</v>
      </c>
    </row>
    <row r="28" spans="1:44" x14ac:dyDescent="0.25">
      <c r="A28" s="1">
        <v>5</v>
      </c>
      <c r="B28" s="2" t="s">
        <v>9</v>
      </c>
      <c r="C28" s="3">
        <v>3</v>
      </c>
      <c r="D28" s="1">
        <v>2</v>
      </c>
      <c r="E28" s="1">
        <v>200</v>
      </c>
      <c r="F28" s="1">
        <v>4</v>
      </c>
      <c r="G28" s="8">
        <f>H26+1</f>
        <v>45430</v>
      </c>
      <c r="H28" s="8">
        <f t="shared" si="11"/>
        <v>45433</v>
      </c>
      <c r="I28" s="8">
        <f t="shared" si="12"/>
        <v>45430</v>
      </c>
      <c r="J28" s="8">
        <f>I30-1</f>
        <v>45433</v>
      </c>
      <c r="L28" s="1">
        <f t="shared" si="14"/>
        <v>0</v>
      </c>
      <c r="M28" s="1" t="str">
        <f t="shared" si="15"/>
        <v>CRITICA</v>
      </c>
      <c r="N28" s="1">
        <f t="shared" si="16"/>
        <v>4</v>
      </c>
      <c r="P28" s="1">
        <f t="shared" si="17"/>
        <v>0</v>
      </c>
      <c r="Q28" s="1">
        <f t="shared" si="13"/>
        <v>0</v>
      </c>
      <c r="R28" s="1">
        <f t="shared" si="13"/>
        <v>0</v>
      </c>
      <c r="S28" s="1">
        <f t="shared" si="13"/>
        <v>0</v>
      </c>
      <c r="T28" s="1">
        <f t="shared" si="13"/>
        <v>0</v>
      </c>
      <c r="U28" s="1">
        <f t="shared" si="13"/>
        <v>0</v>
      </c>
      <c r="V28" s="1">
        <f t="shared" si="13"/>
        <v>0</v>
      </c>
      <c r="W28" s="1">
        <f t="shared" si="13"/>
        <v>0</v>
      </c>
      <c r="X28" s="1">
        <f t="shared" si="13"/>
        <v>0</v>
      </c>
      <c r="Y28" s="1">
        <f t="shared" si="13"/>
        <v>2</v>
      </c>
      <c r="Z28" s="1">
        <f t="shared" si="13"/>
        <v>2</v>
      </c>
      <c r="AA28" s="1">
        <f t="shared" si="13"/>
        <v>2</v>
      </c>
      <c r="AB28" s="1">
        <f t="shared" si="13"/>
        <v>2</v>
      </c>
      <c r="AC28" s="1">
        <f t="shared" si="13"/>
        <v>0</v>
      </c>
      <c r="AD28" s="1">
        <f t="shared" si="13"/>
        <v>0</v>
      </c>
      <c r="AE28" s="1">
        <f t="shared" si="13"/>
        <v>0</v>
      </c>
      <c r="AF28" s="1">
        <f t="shared" si="13"/>
        <v>0</v>
      </c>
      <c r="AG28" s="1">
        <f t="shared" si="13"/>
        <v>0</v>
      </c>
      <c r="AH28" s="1">
        <f t="shared" si="13"/>
        <v>0</v>
      </c>
      <c r="AI28" s="1">
        <f t="shared" si="13"/>
        <v>0</v>
      </c>
      <c r="AJ28" s="1">
        <f t="shared" si="13"/>
        <v>0</v>
      </c>
      <c r="AK28" s="1">
        <f t="shared" si="13"/>
        <v>0</v>
      </c>
      <c r="AL28" s="1">
        <f t="shared" si="13"/>
        <v>0</v>
      </c>
      <c r="AM28" s="1">
        <f t="shared" si="13"/>
        <v>0</v>
      </c>
    </row>
    <row r="29" spans="1:44" x14ac:dyDescent="0.25">
      <c r="A29" s="1">
        <v>6</v>
      </c>
      <c r="B29" s="2" t="s">
        <v>10</v>
      </c>
      <c r="C29" s="3">
        <v>4</v>
      </c>
      <c r="D29" s="1">
        <v>8</v>
      </c>
      <c r="E29" s="1">
        <v>170</v>
      </c>
      <c r="F29" s="1">
        <v>1</v>
      </c>
      <c r="G29" s="8">
        <f>H27+1</f>
        <v>45425</v>
      </c>
      <c r="H29" s="8">
        <f t="shared" si="11"/>
        <v>45425</v>
      </c>
      <c r="I29" s="8">
        <f t="shared" si="12"/>
        <v>45433</v>
      </c>
      <c r="J29" s="8">
        <f>I30-1</f>
        <v>45433</v>
      </c>
      <c r="L29" s="1">
        <f t="shared" si="14"/>
        <v>8</v>
      </c>
      <c r="M29" s="1" t="str">
        <f t="shared" si="15"/>
        <v>NON CRITICA</v>
      </c>
      <c r="N29" s="1">
        <f t="shared" si="16"/>
        <v>0</v>
      </c>
      <c r="P29" s="1">
        <f t="shared" si="17"/>
        <v>0</v>
      </c>
      <c r="Q29" s="1">
        <f t="shared" si="13"/>
        <v>0</v>
      </c>
      <c r="R29" s="1">
        <f t="shared" si="13"/>
        <v>0</v>
      </c>
      <c r="S29" s="1">
        <f t="shared" si="13"/>
        <v>0</v>
      </c>
      <c r="T29" s="1">
        <f t="shared" si="13"/>
        <v>0</v>
      </c>
      <c r="U29" s="1">
        <f t="shared" si="13"/>
        <v>0</v>
      </c>
      <c r="V29" s="1">
        <f t="shared" si="13"/>
        <v>0</v>
      </c>
      <c r="W29" s="1">
        <f t="shared" si="13"/>
        <v>0</v>
      </c>
      <c r="X29" s="1">
        <f t="shared" si="13"/>
        <v>0</v>
      </c>
      <c r="Y29" s="1">
        <f t="shared" si="13"/>
        <v>0</v>
      </c>
      <c r="Z29" s="1">
        <f t="shared" si="13"/>
        <v>0</v>
      </c>
      <c r="AA29" s="1">
        <f t="shared" si="13"/>
        <v>0</v>
      </c>
      <c r="AB29" s="1">
        <f t="shared" si="13"/>
        <v>8</v>
      </c>
      <c r="AC29" s="1">
        <f t="shared" si="13"/>
        <v>0</v>
      </c>
      <c r="AD29" s="1">
        <f t="shared" si="13"/>
        <v>0</v>
      </c>
      <c r="AE29" s="1">
        <f t="shared" si="13"/>
        <v>0</v>
      </c>
      <c r="AF29" s="1">
        <f t="shared" si="13"/>
        <v>0</v>
      </c>
      <c r="AG29" s="1">
        <f t="shared" si="13"/>
        <v>0</v>
      </c>
      <c r="AH29" s="1">
        <f t="shared" si="13"/>
        <v>0</v>
      </c>
      <c r="AI29" s="1">
        <f t="shared" si="13"/>
        <v>0</v>
      </c>
      <c r="AJ29" s="1">
        <f t="shared" si="13"/>
        <v>0</v>
      </c>
      <c r="AK29" s="1">
        <f t="shared" si="13"/>
        <v>0</v>
      </c>
      <c r="AL29" s="1">
        <f t="shared" si="13"/>
        <v>0</v>
      </c>
      <c r="AM29" s="1">
        <f t="shared" si="13"/>
        <v>0</v>
      </c>
    </row>
    <row r="30" spans="1:44" x14ac:dyDescent="0.25">
      <c r="A30" s="1">
        <v>7</v>
      </c>
      <c r="B30" s="2" t="s">
        <v>11</v>
      </c>
      <c r="C30" s="3" t="s">
        <v>16</v>
      </c>
      <c r="D30" s="1">
        <v>4</v>
      </c>
      <c r="E30" s="1">
        <v>480</v>
      </c>
      <c r="F30" s="1">
        <v>1</v>
      </c>
      <c r="G30" s="8">
        <f>MAX(H28:H29)+1</f>
        <v>45434</v>
      </c>
      <c r="H30" s="8">
        <f t="shared" si="11"/>
        <v>45434</v>
      </c>
      <c r="I30" s="8">
        <f t="shared" si="12"/>
        <v>45434</v>
      </c>
      <c r="J30" s="8">
        <f>I31-1</f>
        <v>45434</v>
      </c>
      <c r="L30" s="1">
        <f t="shared" si="14"/>
        <v>0</v>
      </c>
      <c r="M30" s="1" t="str">
        <f t="shared" si="15"/>
        <v>CRITICA</v>
      </c>
      <c r="N30" s="1">
        <f t="shared" si="16"/>
        <v>1</v>
      </c>
      <c r="P30" s="1">
        <f t="shared" si="17"/>
        <v>0</v>
      </c>
      <c r="Q30" s="1">
        <f t="shared" si="13"/>
        <v>0</v>
      </c>
      <c r="R30" s="1">
        <f t="shared" si="13"/>
        <v>0</v>
      </c>
      <c r="S30" s="1">
        <f t="shared" si="13"/>
        <v>0</v>
      </c>
      <c r="T30" s="1">
        <f t="shared" si="13"/>
        <v>0</v>
      </c>
      <c r="U30" s="1">
        <f t="shared" si="13"/>
        <v>0</v>
      </c>
      <c r="V30" s="1">
        <f t="shared" si="13"/>
        <v>0</v>
      </c>
      <c r="W30" s="1">
        <f t="shared" si="13"/>
        <v>0</v>
      </c>
      <c r="X30" s="1">
        <f t="shared" si="13"/>
        <v>0</v>
      </c>
      <c r="Y30" s="1">
        <f t="shared" si="13"/>
        <v>0</v>
      </c>
      <c r="Z30" s="1">
        <f t="shared" si="13"/>
        <v>0</v>
      </c>
      <c r="AA30" s="1">
        <f t="shared" si="13"/>
        <v>0</v>
      </c>
      <c r="AB30" s="1">
        <f t="shared" si="13"/>
        <v>0</v>
      </c>
      <c r="AC30" s="1">
        <f t="shared" si="13"/>
        <v>4</v>
      </c>
      <c r="AD30" s="1">
        <f t="shared" si="13"/>
        <v>0</v>
      </c>
      <c r="AE30" s="1">
        <f t="shared" si="13"/>
        <v>0</v>
      </c>
      <c r="AF30" s="1">
        <f t="shared" si="13"/>
        <v>0</v>
      </c>
      <c r="AG30" s="1">
        <f t="shared" si="13"/>
        <v>0</v>
      </c>
      <c r="AH30" s="1">
        <f t="shared" si="13"/>
        <v>0</v>
      </c>
      <c r="AI30" s="1">
        <f t="shared" si="13"/>
        <v>0</v>
      </c>
      <c r="AJ30" s="1">
        <f t="shared" si="13"/>
        <v>0</v>
      </c>
      <c r="AK30" s="1">
        <f t="shared" si="13"/>
        <v>0</v>
      </c>
      <c r="AL30" s="1">
        <f t="shared" si="13"/>
        <v>0</v>
      </c>
      <c r="AM30" s="1">
        <f t="shared" si="13"/>
        <v>0</v>
      </c>
    </row>
    <row r="31" spans="1:44" x14ac:dyDescent="0.25">
      <c r="A31" s="1">
        <v>8</v>
      </c>
      <c r="B31" s="2" t="s">
        <v>12</v>
      </c>
      <c r="C31" s="3" t="s">
        <v>17</v>
      </c>
      <c r="D31" s="1">
        <v>6</v>
      </c>
      <c r="E31" s="1">
        <v>340</v>
      </c>
      <c r="F31" s="1">
        <v>6</v>
      </c>
      <c r="G31" s="8">
        <f>H30+1</f>
        <v>45435</v>
      </c>
      <c r="H31" s="8">
        <f t="shared" si="11"/>
        <v>45440</v>
      </c>
      <c r="I31" s="8">
        <f t="shared" si="12"/>
        <v>45435</v>
      </c>
      <c r="J31" s="8">
        <f>MIN(I32:I33)-1</f>
        <v>45440</v>
      </c>
      <c r="L31" s="1">
        <f t="shared" si="14"/>
        <v>0</v>
      </c>
      <c r="M31" s="1" t="str">
        <f t="shared" si="15"/>
        <v>CRITICA</v>
      </c>
      <c r="N31" s="1">
        <f t="shared" si="16"/>
        <v>6</v>
      </c>
      <c r="P31" s="1">
        <f t="shared" si="17"/>
        <v>0</v>
      </c>
      <c r="Q31" s="1">
        <f t="shared" si="13"/>
        <v>0</v>
      </c>
      <c r="R31" s="1">
        <f t="shared" si="13"/>
        <v>0</v>
      </c>
      <c r="S31" s="1">
        <f t="shared" si="13"/>
        <v>0</v>
      </c>
      <c r="T31" s="1">
        <f t="shared" si="13"/>
        <v>0</v>
      </c>
      <c r="U31" s="1">
        <f t="shared" si="13"/>
        <v>0</v>
      </c>
      <c r="V31" s="1">
        <f t="shared" si="13"/>
        <v>0</v>
      </c>
      <c r="W31" s="1">
        <f t="shared" si="13"/>
        <v>0</v>
      </c>
      <c r="X31" s="1">
        <f t="shared" si="13"/>
        <v>0</v>
      </c>
      <c r="Y31" s="1">
        <f t="shared" si="13"/>
        <v>0</v>
      </c>
      <c r="Z31" s="1">
        <f t="shared" si="13"/>
        <v>0</v>
      </c>
      <c r="AA31" s="1">
        <f t="shared" si="13"/>
        <v>0</v>
      </c>
      <c r="AB31" s="1">
        <f t="shared" si="13"/>
        <v>0</v>
      </c>
      <c r="AC31" s="1">
        <f t="shared" si="13"/>
        <v>0</v>
      </c>
      <c r="AD31" s="1">
        <f t="shared" si="13"/>
        <v>6</v>
      </c>
      <c r="AE31" s="1">
        <f t="shared" si="13"/>
        <v>6</v>
      </c>
      <c r="AF31" s="1">
        <f t="shared" si="13"/>
        <v>6</v>
      </c>
      <c r="AG31" s="1">
        <f t="shared" si="13"/>
        <v>6</v>
      </c>
      <c r="AH31" s="1">
        <f t="shared" si="13"/>
        <v>6</v>
      </c>
      <c r="AI31" s="1">
        <f t="shared" si="13"/>
        <v>6</v>
      </c>
      <c r="AJ31" s="1">
        <f t="shared" si="13"/>
        <v>0</v>
      </c>
      <c r="AK31" s="1">
        <f t="shared" si="13"/>
        <v>0</v>
      </c>
      <c r="AL31" s="1">
        <f t="shared" si="13"/>
        <v>0</v>
      </c>
      <c r="AM31" s="1">
        <f t="shared" si="13"/>
        <v>0</v>
      </c>
    </row>
    <row r="32" spans="1:44" x14ac:dyDescent="0.25">
      <c r="A32" s="1">
        <v>9</v>
      </c>
      <c r="B32" s="2" t="s">
        <v>13</v>
      </c>
      <c r="C32" s="3" t="s">
        <v>18</v>
      </c>
      <c r="D32" s="1">
        <v>2</v>
      </c>
      <c r="E32" s="1">
        <v>580</v>
      </c>
      <c r="F32" s="1">
        <v>3</v>
      </c>
      <c r="G32" s="8">
        <f>H31+1</f>
        <v>45441</v>
      </c>
      <c r="H32" s="8">
        <f t="shared" si="11"/>
        <v>45443</v>
      </c>
      <c r="I32" s="8">
        <f t="shared" si="12"/>
        <v>45441</v>
      </c>
      <c r="J32" s="8">
        <f>I34-1</f>
        <v>45443</v>
      </c>
      <c r="L32" s="1">
        <f t="shared" si="14"/>
        <v>0</v>
      </c>
      <c r="M32" s="1" t="str">
        <f t="shared" si="15"/>
        <v>CRITICA</v>
      </c>
      <c r="N32" s="1">
        <f t="shared" si="16"/>
        <v>3</v>
      </c>
      <c r="P32" s="1">
        <f t="shared" si="17"/>
        <v>0</v>
      </c>
      <c r="Q32" s="1">
        <f t="shared" si="13"/>
        <v>0</v>
      </c>
      <c r="R32" s="1">
        <f t="shared" si="13"/>
        <v>0</v>
      </c>
      <c r="S32" s="1">
        <f t="shared" si="13"/>
        <v>0</v>
      </c>
      <c r="T32" s="1">
        <f t="shared" si="13"/>
        <v>0</v>
      </c>
      <c r="U32" s="1">
        <f t="shared" si="13"/>
        <v>0</v>
      </c>
      <c r="V32" s="1">
        <f t="shared" si="13"/>
        <v>0</v>
      </c>
      <c r="W32" s="1">
        <f t="shared" si="13"/>
        <v>0</v>
      </c>
      <c r="X32" s="1">
        <f t="shared" si="13"/>
        <v>0</v>
      </c>
      <c r="Y32" s="1">
        <f t="shared" si="13"/>
        <v>0</v>
      </c>
      <c r="Z32" s="1">
        <f t="shared" si="13"/>
        <v>0</v>
      </c>
      <c r="AA32" s="1">
        <f t="shared" si="13"/>
        <v>0</v>
      </c>
      <c r="AB32" s="1">
        <f t="shared" si="13"/>
        <v>0</v>
      </c>
      <c r="AC32" s="1">
        <f t="shared" si="13"/>
        <v>0</v>
      </c>
      <c r="AD32" s="1">
        <f t="shared" si="13"/>
        <v>0</v>
      </c>
      <c r="AE32" s="1">
        <f t="shared" si="13"/>
        <v>0</v>
      </c>
      <c r="AF32" s="1">
        <f t="shared" si="13"/>
        <v>0</v>
      </c>
      <c r="AG32" s="1">
        <f t="shared" si="13"/>
        <v>0</v>
      </c>
      <c r="AH32" s="1">
        <f t="shared" si="13"/>
        <v>0</v>
      </c>
      <c r="AI32" s="1">
        <f t="shared" si="13"/>
        <v>0</v>
      </c>
      <c r="AJ32" s="1">
        <f t="shared" si="13"/>
        <v>2</v>
      </c>
      <c r="AK32" s="1">
        <f t="shared" si="13"/>
        <v>2</v>
      </c>
      <c r="AL32" s="1">
        <f t="shared" si="13"/>
        <v>2</v>
      </c>
      <c r="AM32" s="1">
        <f t="shared" si="13"/>
        <v>0</v>
      </c>
    </row>
    <row r="33" spans="1:41" x14ac:dyDescent="0.25">
      <c r="A33" s="1">
        <v>10</v>
      </c>
      <c r="B33" s="2" t="s">
        <v>14</v>
      </c>
      <c r="C33" s="3" t="s">
        <v>18</v>
      </c>
      <c r="D33" s="1">
        <v>5</v>
      </c>
      <c r="E33" s="1">
        <v>430</v>
      </c>
      <c r="F33" s="1">
        <v>1</v>
      </c>
      <c r="G33" s="8">
        <f>H31+1</f>
        <v>45441</v>
      </c>
      <c r="H33" s="8">
        <f t="shared" si="11"/>
        <v>45441</v>
      </c>
      <c r="I33" s="8">
        <f t="shared" si="12"/>
        <v>45443</v>
      </c>
      <c r="J33" s="8">
        <f>I34-1</f>
        <v>45443</v>
      </c>
      <c r="L33" s="1">
        <f t="shared" si="14"/>
        <v>2</v>
      </c>
      <c r="M33" s="1" t="str">
        <f t="shared" si="15"/>
        <v>NON CRITICA</v>
      </c>
      <c r="N33" s="1">
        <f t="shared" si="16"/>
        <v>0</v>
      </c>
      <c r="P33" s="1">
        <f t="shared" si="17"/>
        <v>0</v>
      </c>
      <c r="Q33" s="1">
        <f t="shared" si="13"/>
        <v>0</v>
      </c>
      <c r="R33" s="1">
        <f t="shared" si="13"/>
        <v>0</v>
      </c>
      <c r="S33" s="1">
        <f t="shared" si="13"/>
        <v>0</v>
      </c>
      <c r="T33" s="1">
        <f t="shared" si="13"/>
        <v>0</v>
      </c>
      <c r="U33" s="1">
        <f t="shared" si="13"/>
        <v>0</v>
      </c>
      <c r="V33" s="1">
        <f t="shared" si="13"/>
        <v>0</v>
      </c>
      <c r="W33" s="1">
        <f t="shared" si="13"/>
        <v>0</v>
      </c>
      <c r="X33" s="1">
        <f t="shared" si="13"/>
        <v>0</v>
      </c>
      <c r="Y33" s="1">
        <f t="shared" si="13"/>
        <v>0</v>
      </c>
      <c r="Z33" s="1">
        <f t="shared" si="13"/>
        <v>0</v>
      </c>
      <c r="AA33" s="1">
        <f t="shared" si="13"/>
        <v>0</v>
      </c>
      <c r="AB33" s="1">
        <f t="shared" si="13"/>
        <v>0</v>
      </c>
      <c r="AC33" s="1">
        <f t="shared" si="13"/>
        <v>0</v>
      </c>
      <c r="AD33" s="1">
        <f t="shared" si="13"/>
        <v>0</v>
      </c>
      <c r="AE33" s="1">
        <f t="shared" si="13"/>
        <v>0</v>
      </c>
      <c r="AF33" s="1">
        <f t="shared" si="13"/>
        <v>0</v>
      </c>
      <c r="AG33" s="1">
        <f t="shared" si="13"/>
        <v>0</v>
      </c>
      <c r="AH33" s="1">
        <f t="shared" si="13"/>
        <v>0</v>
      </c>
      <c r="AI33" s="1">
        <f t="shared" si="13"/>
        <v>0</v>
      </c>
      <c r="AJ33" s="1">
        <f t="shared" si="13"/>
        <v>0</v>
      </c>
      <c r="AK33" s="1">
        <f t="shared" si="13"/>
        <v>0</v>
      </c>
      <c r="AL33" s="1">
        <f t="shared" si="13"/>
        <v>5</v>
      </c>
      <c r="AM33" s="1">
        <f t="shared" si="13"/>
        <v>0</v>
      </c>
    </row>
    <row r="34" spans="1:41" x14ac:dyDescent="0.25">
      <c r="A34" s="1">
        <v>11</v>
      </c>
      <c r="B34" s="2" t="s">
        <v>15</v>
      </c>
      <c r="C34" s="3" t="s">
        <v>19</v>
      </c>
      <c r="D34" s="1">
        <v>8</v>
      </c>
      <c r="E34" s="1">
        <v>280</v>
      </c>
      <c r="F34" s="1">
        <v>1</v>
      </c>
      <c r="G34" s="8">
        <f>MAX(H32:H33)+1</f>
        <v>45444</v>
      </c>
      <c r="H34" s="8">
        <f t="shared" si="11"/>
        <v>45444</v>
      </c>
      <c r="I34" s="8">
        <f t="shared" si="12"/>
        <v>45444</v>
      </c>
      <c r="J34" s="8">
        <f>H34</f>
        <v>45444</v>
      </c>
      <c r="L34" s="1">
        <f t="shared" si="14"/>
        <v>0</v>
      </c>
      <c r="M34" s="1" t="str">
        <f t="shared" si="15"/>
        <v>CRITICA</v>
      </c>
      <c r="N34" s="1">
        <f t="shared" si="16"/>
        <v>1</v>
      </c>
      <c r="P34" s="1">
        <f t="shared" si="17"/>
        <v>0</v>
      </c>
      <c r="Q34" s="1">
        <f t="shared" si="13"/>
        <v>0</v>
      </c>
      <c r="R34" s="1">
        <f t="shared" si="13"/>
        <v>0</v>
      </c>
      <c r="S34" s="1">
        <f t="shared" si="13"/>
        <v>0</v>
      </c>
      <c r="T34" s="1">
        <f t="shared" si="13"/>
        <v>0</v>
      </c>
      <c r="U34" s="1">
        <f t="shared" si="13"/>
        <v>0</v>
      </c>
      <c r="V34" s="1">
        <f t="shared" si="13"/>
        <v>0</v>
      </c>
      <c r="W34" s="1">
        <f t="shared" si="13"/>
        <v>0</v>
      </c>
      <c r="X34" s="1">
        <f t="shared" si="13"/>
        <v>0</v>
      </c>
      <c r="Y34" s="1">
        <f t="shared" si="13"/>
        <v>0</v>
      </c>
      <c r="Z34" s="1">
        <f t="shared" si="13"/>
        <v>0</v>
      </c>
      <c r="AA34" s="1">
        <f t="shared" si="13"/>
        <v>0</v>
      </c>
      <c r="AB34" s="1">
        <f t="shared" si="13"/>
        <v>0</v>
      </c>
      <c r="AC34" s="1">
        <f t="shared" si="13"/>
        <v>0</v>
      </c>
      <c r="AD34" s="1">
        <f t="shared" si="13"/>
        <v>0</v>
      </c>
      <c r="AE34" s="1">
        <f t="shared" si="13"/>
        <v>0</v>
      </c>
      <c r="AF34" s="1">
        <f t="shared" si="13"/>
        <v>0</v>
      </c>
      <c r="AG34" s="1">
        <f t="shared" si="13"/>
        <v>0</v>
      </c>
      <c r="AH34" s="1">
        <f t="shared" si="13"/>
        <v>0</v>
      </c>
      <c r="AI34" s="1">
        <f t="shared" si="13"/>
        <v>0</v>
      </c>
      <c r="AJ34" s="1">
        <f t="shared" si="13"/>
        <v>0</v>
      </c>
      <c r="AK34" s="1">
        <f t="shared" si="13"/>
        <v>0</v>
      </c>
      <c r="AL34" s="1">
        <f t="shared" si="13"/>
        <v>0</v>
      </c>
      <c r="AM34" s="1">
        <f t="shared" si="13"/>
        <v>8</v>
      </c>
    </row>
    <row r="35" spans="1:41" x14ac:dyDescent="0.25">
      <c r="N35" s="1">
        <f>SUM(N23:N34)</f>
        <v>24</v>
      </c>
      <c r="P35" s="19">
        <f>SUM(P24:P34)</f>
        <v>3</v>
      </c>
      <c r="Q35" s="19">
        <f t="shared" ref="Q35:AM35" si="18">SUM(Q24:Q34)</f>
        <v>3</v>
      </c>
      <c r="R35" s="19">
        <f t="shared" si="18"/>
        <v>3</v>
      </c>
      <c r="S35" s="19">
        <f t="shared" si="18"/>
        <v>3</v>
      </c>
      <c r="T35" s="19">
        <f t="shared" si="18"/>
        <v>3</v>
      </c>
      <c r="U35" s="19">
        <f t="shared" si="18"/>
        <v>3</v>
      </c>
      <c r="V35" s="19">
        <f t="shared" si="18"/>
        <v>7</v>
      </c>
      <c r="W35" s="19">
        <f t="shared" si="18"/>
        <v>7</v>
      </c>
      <c r="X35" s="19">
        <f t="shared" si="18"/>
        <v>12</v>
      </c>
      <c r="Y35" s="19">
        <f t="shared" si="18"/>
        <v>7</v>
      </c>
      <c r="Z35" s="19">
        <f t="shared" si="18"/>
        <v>5</v>
      </c>
      <c r="AA35" s="19">
        <f t="shared" si="18"/>
        <v>5</v>
      </c>
      <c r="AB35" s="19">
        <f t="shared" si="18"/>
        <v>10</v>
      </c>
      <c r="AC35" s="19">
        <f t="shared" si="18"/>
        <v>4</v>
      </c>
      <c r="AD35" s="19">
        <f t="shared" si="18"/>
        <v>6</v>
      </c>
      <c r="AE35" s="19">
        <f t="shared" si="18"/>
        <v>6</v>
      </c>
      <c r="AF35" s="19">
        <f t="shared" si="18"/>
        <v>6</v>
      </c>
      <c r="AG35" s="19">
        <f t="shared" si="18"/>
        <v>6</v>
      </c>
      <c r="AH35" s="19">
        <f t="shared" si="18"/>
        <v>6</v>
      </c>
      <c r="AI35" s="19">
        <f t="shared" si="18"/>
        <v>6</v>
      </c>
      <c r="AJ35" s="19">
        <f t="shared" si="18"/>
        <v>2</v>
      </c>
      <c r="AK35" s="19">
        <f t="shared" si="18"/>
        <v>2</v>
      </c>
      <c r="AL35" s="19">
        <f t="shared" si="18"/>
        <v>7</v>
      </c>
      <c r="AM35" s="19">
        <f t="shared" si="18"/>
        <v>8</v>
      </c>
      <c r="AO35" t="s">
        <v>36</v>
      </c>
    </row>
    <row r="36" spans="1:41" x14ac:dyDescent="0.25">
      <c r="P36" s="17">
        <f>P24*$E$24+P25*$E$25+P26*$E$26+P27*$E$27+P28*$E$28+P29*$E$29+P30*$E$30+P31*$E$31+P32*$E$32+P33*$E$33+P34*$E$34</f>
        <v>300</v>
      </c>
      <c r="Q36" s="17">
        <f t="shared" ref="Q36:AM36" si="19">Q24*$E$24+Q25*$E$25+Q26*$E$26+Q27*$E$27+Q28*$E$28+Q29*$E$29+Q30*$E$30+Q31*$E$31+Q32*$E$32+Q33*$E$33+Q34*$E$34</f>
        <v>300</v>
      </c>
      <c r="R36" s="17">
        <f t="shared" si="19"/>
        <v>300</v>
      </c>
      <c r="S36" s="17">
        <f t="shared" si="19"/>
        <v>300</v>
      </c>
      <c r="T36" s="17">
        <f t="shared" si="19"/>
        <v>300</v>
      </c>
      <c r="U36" s="17">
        <f t="shared" si="19"/>
        <v>300</v>
      </c>
      <c r="V36" s="17">
        <f t="shared" si="19"/>
        <v>910</v>
      </c>
      <c r="W36" s="17">
        <f t="shared" si="19"/>
        <v>910</v>
      </c>
      <c r="X36" s="17">
        <f t="shared" si="19"/>
        <v>2660</v>
      </c>
      <c r="Y36" s="17">
        <f t="shared" si="19"/>
        <v>2150</v>
      </c>
      <c r="Z36" s="17">
        <f t="shared" si="19"/>
        <v>1570</v>
      </c>
      <c r="AA36" s="17">
        <f t="shared" si="19"/>
        <v>1570</v>
      </c>
      <c r="AB36" s="17">
        <f t="shared" si="19"/>
        <v>1760</v>
      </c>
      <c r="AC36" s="17">
        <f t="shared" si="19"/>
        <v>1920</v>
      </c>
      <c r="AD36" s="17">
        <f t="shared" si="19"/>
        <v>2040</v>
      </c>
      <c r="AE36" s="17">
        <f t="shared" si="19"/>
        <v>2040</v>
      </c>
      <c r="AF36" s="17">
        <f t="shared" si="19"/>
        <v>2040</v>
      </c>
      <c r="AG36" s="17">
        <f t="shared" si="19"/>
        <v>2040</v>
      </c>
      <c r="AH36" s="17">
        <f t="shared" si="19"/>
        <v>2040</v>
      </c>
      <c r="AI36" s="17">
        <f t="shared" si="19"/>
        <v>2040</v>
      </c>
      <c r="AJ36" s="17">
        <f t="shared" si="19"/>
        <v>1160</v>
      </c>
      <c r="AK36" s="17">
        <f t="shared" si="19"/>
        <v>1160</v>
      </c>
      <c r="AL36" s="17">
        <f t="shared" si="19"/>
        <v>3310</v>
      </c>
      <c r="AM36" s="17">
        <f t="shared" si="19"/>
        <v>2240</v>
      </c>
      <c r="AN36" s="17">
        <f>SUM(P36:AM36)</f>
        <v>35360</v>
      </c>
      <c r="AO36" s="9" t="s">
        <v>37</v>
      </c>
    </row>
    <row r="37" spans="1:41" ht="15.75" x14ac:dyDescent="0.25">
      <c r="B37" s="4" t="s">
        <v>21</v>
      </c>
    </row>
    <row r="38" spans="1:41" ht="15.75" x14ac:dyDescent="0.25">
      <c r="B38" s="4" t="s">
        <v>22</v>
      </c>
    </row>
    <row r="39" spans="1:41" ht="15.75" x14ac:dyDescent="0.25">
      <c r="B39" s="4" t="s">
        <v>23</v>
      </c>
    </row>
    <row r="40" spans="1:41" ht="15.75" x14ac:dyDescent="0.25">
      <c r="B40" s="4" t="s">
        <v>24</v>
      </c>
    </row>
  </sheetData>
  <mergeCells count="6">
    <mergeCell ref="G3:H3"/>
    <mergeCell ref="I3:J3"/>
    <mergeCell ref="P3:Q3"/>
    <mergeCell ref="P21:Q21"/>
    <mergeCell ref="G21:H21"/>
    <mergeCell ref="I21:J21"/>
  </mergeCells>
  <conditionalFormatting sqref="P6:AM6">
    <cfRule type="cellIs" dxfId="26" priority="25" operator="greaterThan">
      <formula>0</formula>
    </cfRule>
  </conditionalFormatting>
  <conditionalFormatting sqref="P6:AM16 P18:AN18">
    <cfRule type="cellIs" dxfId="25" priority="50" operator="equal">
      <formula>0</formula>
    </cfRule>
  </conditionalFormatting>
  <conditionalFormatting sqref="P7:AM7">
    <cfRule type="cellIs" dxfId="24" priority="24" operator="greaterThan">
      <formula>0</formula>
    </cfRule>
  </conditionalFormatting>
  <conditionalFormatting sqref="P8:AM8">
    <cfRule type="cellIs" dxfId="23" priority="23" operator="greaterThan">
      <formula>0</formula>
    </cfRule>
  </conditionalFormatting>
  <conditionalFormatting sqref="P9:AM9">
    <cfRule type="cellIs" dxfId="22" priority="22" operator="greaterThan">
      <formula>0</formula>
    </cfRule>
  </conditionalFormatting>
  <conditionalFormatting sqref="P10:AM10">
    <cfRule type="cellIs" dxfId="21" priority="21" operator="greaterThan">
      <formula>0</formula>
    </cfRule>
  </conditionalFormatting>
  <conditionalFormatting sqref="P11:AM11">
    <cfRule type="cellIs" dxfId="20" priority="20" operator="greaterThan">
      <formula>0</formula>
    </cfRule>
  </conditionalFormatting>
  <conditionalFormatting sqref="P12:AM12">
    <cfRule type="cellIs" dxfId="19" priority="19" operator="greaterThan">
      <formula>0</formula>
    </cfRule>
  </conditionalFormatting>
  <conditionalFormatting sqref="P13:AM13">
    <cfRule type="cellIs" dxfId="18" priority="18" operator="greaterThan">
      <formula>0</formula>
    </cfRule>
  </conditionalFormatting>
  <conditionalFormatting sqref="P14:AM14">
    <cfRule type="cellIs" dxfId="17" priority="17" operator="greaterThan">
      <formula>0</formula>
    </cfRule>
  </conditionalFormatting>
  <conditionalFormatting sqref="P15:AM15">
    <cfRule type="cellIs" dxfId="16" priority="16" operator="greaterThan">
      <formula>0</formula>
    </cfRule>
  </conditionalFormatting>
  <conditionalFormatting sqref="P16:AM16">
    <cfRule type="cellIs" dxfId="15" priority="15" operator="greaterThan">
      <formula>0</formula>
    </cfRule>
  </conditionalFormatting>
  <conditionalFormatting sqref="P23:AM34">
    <cfRule type="cellIs" dxfId="14" priority="12" operator="equal">
      <formula>0</formula>
    </cfRule>
  </conditionalFormatting>
  <conditionalFormatting sqref="P24:AM24">
    <cfRule type="cellIs" dxfId="13" priority="11" operator="greaterThan">
      <formula>0</formula>
    </cfRule>
  </conditionalFormatting>
  <conditionalFormatting sqref="P25:AM25">
    <cfRule type="cellIs" dxfId="12" priority="10" operator="greaterThan">
      <formula>0</formula>
    </cfRule>
  </conditionalFormatting>
  <conditionalFormatting sqref="P26:AM26">
    <cfRule type="cellIs" dxfId="11" priority="9" operator="greaterThan">
      <formula>0</formula>
    </cfRule>
  </conditionalFormatting>
  <conditionalFormatting sqref="P27:AM27">
    <cfRule type="cellIs" dxfId="10" priority="8" operator="greaterThan">
      <formula>0</formula>
    </cfRule>
  </conditionalFormatting>
  <conditionalFormatting sqref="P28:AM28">
    <cfRule type="cellIs" dxfId="9" priority="7" operator="greaterThan">
      <formula>0</formula>
    </cfRule>
  </conditionalFormatting>
  <conditionalFormatting sqref="P29:AM29">
    <cfRule type="cellIs" dxfId="8" priority="6" operator="greaterThan">
      <formula>0</formula>
    </cfRule>
  </conditionalFormatting>
  <conditionalFormatting sqref="P30:AM30">
    <cfRule type="cellIs" dxfId="7" priority="5" operator="greaterThan">
      <formula>0</formula>
    </cfRule>
  </conditionalFormatting>
  <conditionalFormatting sqref="P31:AM31">
    <cfRule type="cellIs" dxfId="6" priority="4" operator="greaterThan">
      <formula>0</formula>
    </cfRule>
  </conditionalFormatting>
  <conditionalFormatting sqref="P32:AM32">
    <cfRule type="cellIs" dxfId="5" priority="3" operator="greaterThan">
      <formula>0</formula>
    </cfRule>
  </conditionalFormatting>
  <conditionalFormatting sqref="P33:AM33">
    <cfRule type="cellIs" dxfId="4" priority="2" operator="greaterThan">
      <formula>0</formula>
    </cfRule>
  </conditionalFormatting>
  <conditionalFormatting sqref="P34:AM34">
    <cfRule type="cellIs" dxfId="3" priority="1" operator="greaterThan">
      <formula>0</formula>
    </cfRule>
  </conditionalFormatting>
  <conditionalFormatting sqref="P35:AM36 Q36:AN36">
    <cfRule type="cellIs" dxfId="2" priority="27" operator="equal">
      <formula>"X"</formula>
    </cfRule>
    <cfRule type="cellIs" dxfId="1" priority="37" operator="equal">
      <formula>"X"</formula>
    </cfRule>
  </conditionalFormatting>
  <conditionalFormatting sqref="P35:AM36 AN36">
    <cfRule type="cellIs" dxfId="0" priority="49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Chiara D'Alia</cp:lastModifiedBy>
  <dcterms:created xsi:type="dcterms:W3CDTF">2024-05-08T17:00:33Z</dcterms:created>
  <dcterms:modified xsi:type="dcterms:W3CDTF">2024-08-31T08:55:48Z</dcterms:modified>
</cp:coreProperties>
</file>