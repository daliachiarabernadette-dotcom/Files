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Gpo\"/>
    </mc:Choice>
  </mc:AlternateContent>
  <xr:revisionPtr revIDLastSave="0" documentId="13_ncr:1_{32B6F89A-53DB-4285-8DD3-F8B346CAAA0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cord MRP" sheetId="1" r:id="rId1"/>
    <sheet name="Diagramma di Gantt" sheetId="6" r:id="rId2"/>
  </sheets>
  <definedNames>
    <definedName name="LT">'Record MRP'!$C$2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G3" i="6"/>
  <c r="H3" i="6" s="1"/>
  <c r="D4" i="6"/>
  <c r="G4" i="6" s="1"/>
  <c r="E4" i="6"/>
  <c r="D5" i="6" s="1"/>
  <c r="F4" i="6"/>
  <c r="D6" i="6"/>
  <c r="E6" i="6"/>
  <c r="F6" i="6"/>
  <c r="G6" i="6"/>
  <c r="E5" i="6" l="1"/>
  <c r="F5" i="6"/>
  <c r="G5" i="6"/>
  <c r="H4" i="6"/>
  <c r="I3" i="6"/>
  <c r="H5" i="6"/>
  <c r="H6" i="6"/>
  <c r="M8" i="1"/>
  <c r="M9" i="1" s="1"/>
  <c r="N8" i="1"/>
  <c r="N9" i="1" s="1"/>
  <c r="G6" i="1"/>
  <c r="H6" i="1"/>
  <c r="F6" i="1"/>
  <c r="F7" i="1" s="1"/>
  <c r="I5" i="6" l="1"/>
  <c r="I4" i="6"/>
  <c r="J3" i="6"/>
  <c r="I6" i="6"/>
  <c r="D7" i="6"/>
  <c r="D12" i="6"/>
  <c r="G7" i="1"/>
  <c r="H7" i="1" s="1"/>
  <c r="F8" i="1" s="1"/>
  <c r="F9" i="1" s="1"/>
  <c r="I6" i="1" s="1"/>
  <c r="I7" i="1" s="1"/>
  <c r="E7" i="6" l="1"/>
  <c r="F7" i="6"/>
  <c r="G7" i="6"/>
  <c r="H7" i="6"/>
  <c r="J5" i="6"/>
  <c r="J6" i="6"/>
  <c r="J12" i="6"/>
  <c r="J4" i="6"/>
  <c r="K3" i="6"/>
  <c r="J7" i="6"/>
  <c r="I7" i="6"/>
  <c r="E12" i="6"/>
  <c r="I12" i="6" s="1"/>
  <c r="F12" i="6"/>
  <c r="G12" i="6"/>
  <c r="H12" i="6"/>
  <c r="G8" i="1"/>
  <c r="G9" i="1" s="1"/>
  <c r="J6" i="1" s="1"/>
  <c r="J7" i="1" s="1"/>
  <c r="D8" i="6" l="1"/>
  <c r="D10" i="6"/>
  <c r="D9" i="6"/>
  <c r="K6" i="6"/>
  <c r="K12" i="6"/>
  <c r="K5" i="6"/>
  <c r="K4" i="6"/>
  <c r="L3" i="6"/>
  <c r="K7" i="6"/>
  <c r="H8" i="1"/>
  <c r="H9" i="1" s="1"/>
  <c r="K6" i="1" s="1"/>
  <c r="K7" i="1" s="1"/>
  <c r="E9" i="6" l="1"/>
  <c r="K9" i="6" s="1"/>
  <c r="G9" i="6"/>
  <c r="H9" i="6"/>
  <c r="I9" i="6"/>
  <c r="J9" i="6"/>
  <c r="E10" i="6"/>
  <c r="K10" i="6" s="1"/>
  <c r="H10" i="6"/>
  <c r="I10" i="6"/>
  <c r="J10" i="6"/>
  <c r="L6" i="6"/>
  <c r="L12" i="6"/>
  <c r="L9" i="6"/>
  <c r="L5" i="6"/>
  <c r="L7" i="6"/>
  <c r="L4" i="6"/>
  <c r="M3" i="6"/>
  <c r="E8" i="6"/>
  <c r="I8" i="1"/>
  <c r="I9" i="1" s="1"/>
  <c r="L6" i="1" s="1"/>
  <c r="L7" i="1" s="1"/>
  <c r="M7" i="6" l="1"/>
  <c r="M6" i="6"/>
  <c r="M12" i="6"/>
  <c r="M5" i="6"/>
  <c r="M4" i="6"/>
  <c r="M10" i="6"/>
  <c r="M9" i="6"/>
  <c r="N3" i="6"/>
  <c r="M8" i="6"/>
  <c r="D11" i="6"/>
  <c r="K8" i="6"/>
  <c r="L8" i="6"/>
  <c r="L10" i="6"/>
  <c r="F10" i="6"/>
  <c r="G10" i="6"/>
  <c r="J8" i="6"/>
  <c r="I8" i="6"/>
  <c r="H8" i="6"/>
  <c r="G8" i="6"/>
  <c r="F9" i="6"/>
  <c r="F8" i="6"/>
  <c r="J8" i="1"/>
  <c r="J9" i="1" s="1"/>
  <c r="M6" i="1" s="1"/>
  <c r="M7" i="1" s="1"/>
  <c r="N7" i="6" l="1"/>
  <c r="N8" i="6"/>
  <c r="N6" i="6"/>
  <c r="N12" i="6"/>
  <c r="N5" i="6"/>
  <c r="N4" i="6"/>
  <c r="N10" i="6"/>
  <c r="N9" i="6"/>
  <c r="O3" i="6"/>
  <c r="G11" i="6"/>
  <c r="E11" i="6"/>
  <c r="D13" i="6" s="1"/>
  <c r="M11" i="6"/>
  <c r="K8" i="1"/>
  <c r="K9" i="1" s="1"/>
  <c r="N6" i="1" s="1"/>
  <c r="N7" i="1" s="1"/>
  <c r="L8" i="1" s="1"/>
  <c r="L9" i="1" s="1"/>
  <c r="N11" i="6" l="1"/>
  <c r="J11" i="6"/>
  <c r="H11" i="6"/>
  <c r="L11" i="6"/>
  <c r="K11" i="6"/>
  <c r="I11" i="6"/>
  <c r="F11" i="6"/>
  <c r="O8" i="6"/>
  <c r="O9" i="6"/>
  <c r="O7" i="6"/>
  <c r="O13" i="6"/>
  <c r="O10" i="6"/>
  <c r="O6" i="6"/>
  <c r="O12" i="6"/>
  <c r="O5" i="6"/>
  <c r="O11" i="6"/>
  <c r="O4" i="6"/>
  <c r="P3" i="6"/>
  <c r="E13" i="6"/>
  <c r="F1" i="6" s="1"/>
  <c r="G13" i="6"/>
  <c r="H13" i="6"/>
  <c r="I13" i="6"/>
  <c r="F13" i="6" l="1"/>
  <c r="Q3" i="6"/>
  <c r="P11" i="6"/>
  <c r="P8" i="6"/>
  <c r="P7" i="6"/>
  <c r="P13" i="6"/>
  <c r="P12" i="6"/>
  <c r="P6" i="6"/>
  <c r="P5" i="6"/>
  <c r="P4" i="6"/>
  <c r="P10" i="6"/>
  <c r="P9" i="6"/>
  <c r="M13" i="6"/>
  <c r="L13" i="6"/>
  <c r="K13" i="6"/>
  <c r="J13" i="6"/>
  <c r="N13" i="6"/>
  <c r="Q9" i="6" l="1"/>
  <c r="Q10" i="6"/>
  <c r="R3" i="6"/>
  <c r="Q11" i="6"/>
  <c r="Q8" i="6"/>
  <c r="Q13" i="6"/>
  <c r="Q12" i="6"/>
  <c r="Q7" i="6"/>
  <c r="Q6" i="6"/>
  <c r="Q5" i="6"/>
  <c r="Q4" i="6"/>
  <c r="R13" i="6" l="1"/>
  <c r="R9" i="6"/>
  <c r="S3" i="6"/>
  <c r="R8" i="6"/>
  <c r="R11" i="6"/>
  <c r="R10" i="6"/>
  <c r="R7" i="6"/>
  <c r="R6" i="6"/>
  <c r="R4" i="6"/>
  <c r="R12" i="6"/>
  <c r="R5" i="6"/>
  <c r="S4" i="6" l="1"/>
  <c r="S10" i="6"/>
  <c r="S12" i="6"/>
  <c r="S9" i="6"/>
  <c r="T3" i="6"/>
  <c r="S8" i="6"/>
  <c r="S13" i="6"/>
  <c r="S7" i="6"/>
  <c r="S6" i="6"/>
  <c r="S11" i="6"/>
  <c r="S5" i="6"/>
  <c r="T7" i="6" l="1"/>
  <c r="T13" i="6"/>
  <c r="T12" i="6"/>
  <c r="T11" i="6"/>
  <c r="T4" i="6"/>
  <c r="T10" i="6"/>
  <c r="T9" i="6"/>
  <c r="U3" i="6"/>
  <c r="T8" i="6"/>
  <c r="T5" i="6"/>
  <c r="T6" i="6"/>
  <c r="U5" i="6" l="1"/>
  <c r="U11" i="6"/>
  <c r="U4" i="6"/>
  <c r="U10" i="6"/>
  <c r="U7" i="6"/>
  <c r="U12" i="6"/>
  <c r="U9" i="6"/>
  <c r="V3" i="6"/>
  <c r="U8" i="6"/>
  <c r="U13" i="6"/>
  <c r="U6" i="6"/>
  <c r="V5" i="6" l="1"/>
  <c r="V11" i="6"/>
  <c r="V4" i="6"/>
  <c r="V10" i="6"/>
  <c r="V9" i="6"/>
  <c r="W3" i="6"/>
  <c r="V8" i="6"/>
  <c r="V6" i="6"/>
  <c r="V7" i="6"/>
  <c r="V13" i="6"/>
  <c r="V12" i="6"/>
  <c r="W6" i="6" l="1"/>
  <c r="W12" i="6"/>
  <c r="W8" i="6"/>
  <c r="W5" i="6"/>
  <c r="W11" i="6"/>
  <c r="W4" i="6"/>
  <c r="W10" i="6"/>
  <c r="W9" i="6"/>
  <c r="X3" i="6"/>
  <c r="W7" i="6"/>
  <c r="W13" i="6"/>
  <c r="X7" i="6" l="1"/>
  <c r="X6" i="6"/>
  <c r="X12" i="6"/>
  <c r="X10" i="6"/>
  <c r="X13" i="6"/>
  <c r="X5" i="6"/>
  <c r="X11" i="6"/>
  <c r="X4" i="6"/>
  <c r="X9" i="6"/>
  <c r="Y3" i="6"/>
  <c r="X8" i="6"/>
  <c r="Y7" i="6" l="1"/>
  <c r="Y13" i="6"/>
  <c r="Y9" i="6"/>
  <c r="Y6" i="6"/>
  <c r="Y12" i="6"/>
  <c r="Y11" i="6"/>
  <c r="Y5" i="6"/>
  <c r="Y4" i="6"/>
  <c r="Y10" i="6"/>
  <c r="Y8" i="6"/>
</calcChain>
</file>

<file path=xl/sharedStrings.xml><?xml version="1.0" encoding="utf-8"?>
<sst xmlns="http://schemas.openxmlformats.org/spreadsheetml/2006/main" count="35" uniqueCount="29">
  <si>
    <t>LT=</t>
  </si>
  <si>
    <t>FL</t>
  </si>
  <si>
    <t>CA</t>
  </si>
  <si>
    <t>RP</t>
  </si>
  <si>
    <t>GE</t>
  </si>
  <si>
    <t>FN*</t>
  </si>
  <si>
    <t>FN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</si>
  <si>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</si>
  <si>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</si>
  <si>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</si>
  <si>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</si>
  <si>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</si>
  <si>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</si>
  <si>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</si>
  <si>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</si>
  <si>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</si>
  <si>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</si>
  <si>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B,C</t>
  </si>
  <si>
    <t>E,F,G</t>
  </si>
  <si>
    <t>Nessuno</t>
  </si>
  <si>
    <t xml:space="preserve">A </t>
  </si>
  <si>
    <t>fine</t>
  </si>
  <si>
    <t>inizio</t>
  </si>
  <si>
    <t>durata</t>
  </si>
  <si>
    <t>predecessori</t>
  </si>
  <si>
    <t>attività</t>
  </si>
  <si>
    <t>gg</t>
  </si>
  <si>
    <t>durata=</t>
  </si>
  <si>
    <t>DATA_INIZIO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</si>
</sst>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\-m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e" xfId="0" builtinId="0"/>
  </cellStyles>
  <dxfs count="12">
    <dxf>
      <font>
        <color rgb="FF002060"/>
      </font>
      <fill>
        <patternFill>
          <bgColor rgb="FF00206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0"/>
      </font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"/>
  <sheetViews>
    <sheetView zoomScale="115" zoomScaleNormal="115" workbookViewId="0">
      <selection activeCell="P16" sqref="K16:P23"/>
    </sheetView>
  </sheetViews>
  <sheetFormatPr defaultRowHeight="15" x14ac:dyDescent="0.25"/>
  <cols>
    <col min="6" max="14" width="6.28515625" customWidth="1"/>
  </cols>
  <sheetData>
    <row r="2" spans="2:14" x14ac:dyDescent="0.25">
      <c r="B2" t="s">
        <v>0</v>
      </c>
      <c r="C2" s="3">
        <v>3</v>
      </c>
    </row>
    <row r="3" spans="2:14" x14ac:dyDescent="0.25"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</row>
    <row r="4" spans="2:14" x14ac:dyDescent="0.25">
      <c r="B4" t="s">
        <v>1</v>
      </c>
      <c r="F4" s="1"/>
      <c r="G4" s="1">
        <v>40</v>
      </c>
      <c r="H4" s="1"/>
      <c r="I4" s="1">
        <v>25</v>
      </c>
      <c r="J4" s="1"/>
      <c r="K4" s="1"/>
      <c r="L4" s="1"/>
      <c r="M4" s="1"/>
      <c r="N4" s="1">
        <v>30</v>
      </c>
    </row>
    <row r="5" spans="2:14" x14ac:dyDescent="0.25">
      <c r="B5" t="s">
        <v>2</v>
      </c>
      <c r="F5" s="1"/>
      <c r="G5" s="1"/>
      <c r="H5" s="3">
        <v>15</v>
      </c>
      <c r="I5" s="1"/>
      <c r="J5" s="1"/>
      <c r="K5" s="3">
        <v>30</v>
      </c>
      <c r="L5" s="1"/>
      <c r="M5" s="3">
        <v>25</v>
      </c>
      <c r="N5" s="1"/>
    </row>
    <row r="6" spans="2:14" x14ac:dyDescent="0.25">
      <c r="B6" t="s">
        <v>3</v>
      </c>
      <c r="F6" s="1">
        <f t="shared" ref="F6:N6" ca="1" si="0">OFFSET(F9,0,-LT)</f>
        <v>0</v>
      </c>
      <c r="G6" s="1">
        <f t="shared" ca="1" si="0"/>
        <v>0</v>
      </c>
      <c r="H6" s="1">
        <f t="shared" ca="1" si="0"/>
        <v>0</v>
      </c>
      <c r="I6" s="1">
        <f t="shared" ca="1" si="0"/>
        <v>40</v>
      </c>
      <c r="J6" s="1">
        <f t="shared" ca="1" si="0"/>
        <v>0</v>
      </c>
      <c r="K6" s="1">
        <f t="shared" ca="1" si="0"/>
        <v>0</v>
      </c>
      <c r="L6" s="1">
        <f t="shared" ca="1" si="0"/>
        <v>0</v>
      </c>
      <c r="M6" s="1">
        <f t="shared" ca="1" si="0"/>
        <v>0</v>
      </c>
      <c r="N6" s="1">
        <f t="shared" ca="1" si="0"/>
        <v>0</v>
      </c>
    </row>
    <row r="7" spans="2:14" x14ac:dyDescent="0.25">
      <c r="B7" t="s">
        <v>4</v>
      </c>
      <c r="E7" s="3">
        <v>10</v>
      </c>
      <c r="F7" s="1">
        <f ca="1">E7+F5+F6-F4</f>
        <v>10</v>
      </c>
      <c r="G7" s="1">
        <f t="shared" ref="G7:N7" ca="1" si="1">F7+G5+G6-G4</f>
        <v>-30</v>
      </c>
      <c r="H7" s="1">
        <f t="shared" ca="1" si="1"/>
        <v>-15</v>
      </c>
      <c r="I7" s="1">
        <f t="shared" ca="1" si="1"/>
        <v>0</v>
      </c>
      <c r="J7" s="1">
        <f t="shared" ca="1" si="1"/>
        <v>0</v>
      </c>
      <c r="K7" s="1">
        <f t="shared" ca="1" si="1"/>
        <v>30</v>
      </c>
      <c r="L7" s="1">
        <f t="shared" ca="1" si="1"/>
        <v>30</v>
      </c>
      <c r="M7" s="1">
        <f t="shared" ca="1" si="1"/>
        <v>55</v>
      </c>
      <c r="N7" s="1">
        <f t="shared" ca="1" si="1"/>
        <v>25</v>
      </c>
    </row>
    <row r="8" spans="2:14" x14ac:dyDescent="0.25">
      <c r="B8" t="s">
        <v>5</v>
      </c>
      <c r="F8" s="1">
        <f t="shared" ref="F8:N8" ca="1" si="2">OFFSET(F4,0,LT)-OFFSET(F7,0,LT-1)-OFFSET(F5,0,LT)</f>
        <v>40</v>
      </c>
      <c r="G8" s="1">
        <f t="shared" ca="1" si="2"/>
        <v>0</v>
      </c>
      <c r="H8" s="1">
        <f t="shared" ca="1" si="2"/>
        <v>-30</v>
      </c>
      <c r="I8" s="1">
        <f t="shared" ca="1" si="2"/>
        <v>-30</v>
      </c>
      <c r="J8" s="1">
        <f t="shared" ca="1" si="2"/>
        <v>-55</v>
      </c>
      <c r="K8" s="1">
        <f t="shared" ca="1" si="2"/>
        <v>-25</v>
      </c>
      <c r="L8" s="1">
        <f t="shared" ca="1" si="2"/>
        <v>-25</v>
      </c>
      <c r="M8" s="1">
        <f t="shared" ca="1" si="2"/>
        <v>0</v>
      </c>
      <c r="N8" s="1">
        <f t="shared" ca="1" si="2"/>
        <v>0</v>
      </c>
    </row>
    <row r="9" spans="2:14" x14ac:dyDescent="0.25">
      <c r="B9" t="s">
        <v>6</v>
      </c>
      <c r="F9" s="1">
        <f ca="1">IF(F8&gt;0,F8,0)</f>
        <v>40</v>
      </c>
      <c r="G9" s="1">
        <f t="shared" ref="G9:N9" ca="1" si="3">IF(G8&gt;0,G8,0)</f>
        <v>0</v>
      </c>
      <c r="H9" s="1">
        <f t="shared" ca="1" si="3"/>
        <v>0</v>
      </c>
      <c r="I9" s="1">
        <f t="shared" ca="1" si="3"/>
        <v>0</v>
      </c>
      <c r="J9" s="1">
        <f t="shared" ca="1" si="3"/>
        <v>0</v>
      </c>
      <c r="K9" s="1">
        <f t="shared" ca="1" si="3"/>
        <v>0</v>
      </c>
      <c r="L9" s="1">
        <f t="shared" ca="1" si="3"/>
        <v>0</v>
      </c>
      <c r="M9" s="1">
        <f t="shared" ca="1" si="3"/>
        <v>0</v>
      </c>
      <c r="N9" s="1">
        <f t="shared" ca="1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8628-8ED7-4770-BAFA-DEA99DA12EA4}">
  <dimension ref="A1:Y13"/>
  <sheetViews>
    <sheetView tabSelected="1" zoomScaleNormal="100" workbookViewId="0">
      <selection activeCell="P20" sqref="P20"/>
    </sheetView>
  </sheetViews>
  <sheetFormatPr defaultRowHeight="15" x14ac:dyDescent="0.25"/>
  <cols>
    <col min="1" max="1" width="13.42578125" customWidth="1"/>
    <col min="2" max="2" width="13.28515625" customWidth="1"/>
    <col min="3" max="3" width="11.7109375" customWidth="1"/>
    <col min="4" max="4" width="11.5703125" customWidth="1"/>
    <col min="5" max="5" width="11.7109375" customWidth="1"/>
    <col min="6" max="20" width="6.5703125" bestFit="1" customWidth="1"/>
    <col min="21" max="25" width="6.42578125" bestFit="1" customWidth="1"/>
  </cols>
  <sheetData>
    <row r="1" spans="1:25" x14ac:dyDescent="0.25">
      <c r="A1" s="19" t="s">
        <v>28</v>
      </c>
      <c r="B1" s="19"/>
      <c r="C1" s="21">
        <v>45398</v>
      </c>
      <c r="E1" s="20" t="s">
        <v>27</v>
      </c>
      <c r="F1" s="20">
        <f>E13-C1</f>
        <v>19</v>
      </c>
      <c r="G1" t="s">
        <v>26</v>
      </c>
    </row>
    <row r="2" spans="1:25" x14ac:dyDescent="0.25">
      <c r="A2" s="19"/>
      <c r="B2" s="19"/>
    </row>
    <row r="3" spans="1:25" x14ac:dyDescent="0.25">
      <c r="A3" s="2" t="s">
        <v>25</v>
      </c>
      <c r="B3" s="2" t="s">
        <v>24</v>
      </c>
      <c r="C3" s="2" t="s">
        <v>23</v>
      </c>
      <c r="D3" s="2" t="s">
        <v>22</v>
      </c>
      <c r="E3" s="2" t="s">
        <v>21</v>
      </c>
      <c r="F3" s="4">
        <f>C1</f>
        <v>45398</v>
      </c>
      <c r="G3" s="4">
        <f>F3+1</f>
        <v>45399</v>
      </c>
      <c r="H3" s="4">
        <f>G3+1</f>
        <v>45400</v>
      </c>
      <c r="I3" s="4">
        <f>H3+1</f>
        <v>45401</v>
      </c>
      <c r="J3" s="4">
        <f>I3+1</f>
        <v>45402</v>
      </c>
      <c r="K3" s="4">
        <f>J3+1</f>
        <v>45403</v>
      </c>
      <c r="L3" s="4">
        <f>K3+1</f>
        <v>45404</v>
      </c>
      <c r="M3" s="4">
        <f>L3+1</f>
        <v>45405</v>
      </c>
      <c r="N3" s="4">
        <f>M3+1</f>
        <v>45406</v>
      </c>
      <c r="O3" s="4">
        <f>N3+1</f>
        <v>45407</v>
      </c>
      <c r="P3" s="4">
        <f>O3+1</f>
        <v>45408</v>
      </c>
      <c r="Q3" s="4">
        <f>P3+1</f>
        <v>45409</v>
      </c>
      <c r="R3" s="4">
        <f>Q3+1</f>
        <v>45410</v>
      </c>
      <c r="S3" s="4">
        <f>R3+1</f>
        <v>45411</v>
      </c>
      <c r="T3" s="4">
        <f>S3+1</f>
        <v>45412</v>
      </c>
      <c r="U3" s="4">
        <f>T3+1</f>
        <v>45413</v>
      </c>
      <c r="V3" s="4">
        <f>U3+1</f>
        <v>45414</v>
      </c>
      <c r="W3" s="4">
        <f>V3+1</f>
        <v>45415</v>
      </c>
      <c r="X3" s="4">
        <f>W3+1</f>
        <v>45416</v>
      </c>
      <c r="Y3" s="4">
        <f>X3+1</f>
        <v>45417</v>
      </c>
    </row>
    <row r="4" spans="1:25" x14ac:dyDescent="0.25">
      <c r="A4" s="1" t="s">
        <v>20</v>
      </c>
      <c r="B4" s="1" t="s">
        <v>19</v>
      </c>
      <c r="C4" s="1">
        <v>4</v>
      </c>
      <c r="D4" s="8">
        <f>C1</f>
        <v>45398</v>
      </c>
      <c r="E4" s="17">
        <f>D4+C4-1</f>
        <v>45401</v>
      </c>
      <c r="F4" s="6" t="str">
        <f>IF(AND(F$3&gt;=$D4,F$3&lt;=$E4),"X",0)</f>
        <v>X</v>
      </c>
      <c r="G4" s="10" t="str">
        <f>IF(AND(G3&gt;=$D4,G3&lt;=$E4),"X",0)</f>
        <v>X</v>
      </c>
      <c r="H4" s="10" t="str">
        <f>IF(AND(H3&gt;=$D4,H3&lt;=$E4),"X",0)</f>
        <v>X</v>
      </c>
      <c r="I4" s="5" t="str">
        <f>IF(AND(I3&gt;=$D4,I3&lt;=$E4),"X",0)</f>
        <v>X</v>
      </c>
      <c r="J4" s="13">
        <f>IF(AND(J3&gt;=$D4,J3&lt;=$E4),"X",0)</f>
        <v>0</v>
      </c>
      <c r="K4" s="9">
        <f>IF(AND(K3&gt;=$D4,K3&lt;=$E4),"X",0)</f>
        <v>0</v>
      </c>
      <c r="L4" s="9">
        <f>IF(AND(L3&gt;=$D4,L3&lt;=$E4),"X",0)</f>
        <v>0</v>
      </c>
      <c r="M4" s="9">
        <f>IF(AND(M3&gt;=$D4,M3&lt;=$E4),"X",0)</f>
        <v>0</v>
      </c>
      <c r="N4" s="1">
        <f>IF(AND(N3&gt;=$D4,N3&lt;=$E4),"X",0)</f>
        <v>0</v>
      </c>
      <c r="O4" s="1">
        <f>IF(AND(O3&gt;=$D4,O3&lt;=$E4),"X",0)</f>
        <v>0</v>
      </c>
      <c r="P4" s="1">
        <f>IF(AND(P3&gt;=$D4,P3&lt;=$E4),"X",0)</f>
        <v>0</v>
      </c>
      <c r="Q4" s="1">
        <f>IF(AND(Q3&gt;=$D4,Q3&lt;=$E4),"X",0)</f>
        <v>0</v>
      </c>
      <c r="R4" s="1">
        <f>IF(AND(R3&gt;=$D4,R3&lt;=$E4),"X",0)</f>
        <v>0</v>
      </c>
      <c r="S4" s="1">
        <f>IF(AND(S3&gt;=$D4,S3&lt;=$E4),"X",0)</f>
        <v>0</v>
      </c>
      <c r="T4" s="1">
        <f>IF(AND(T3&gt;=$D4,T3&lt;=$E4),"X",0)</f>
        <v>0</v>
      </c>
      <c r="U4" s="1">
        <f>IF(AND(U3&gt;=$D4,U3&lt;=$E4),"X",0)</f>
        <v>0</v>
      </c>
      <c r="V4" s="1">
        <f>IF(AND(V3&gt;=$D4,V3&lt;=$E4),"X",0)</f>
        <v>0</v>
      </c>
      <c r="W4" s="1">
        <f>IF(AND(W3&gt;=$D4,W3&lt;=$E4),"X",0)</f>
        <v>0</v>
      </c>
      <c r="X4" s="1">
        <f>IF(AND(X3&gt;=$D4,X3&lt;=$E4),"X",0)</f>
        <v>0</v>
      </c>
      <c r="Y4" s="1">
        <f>IF(AND(Y3&gt;=$D4,Y3&lt;=$E4),"X",0)</f>
        <v>0</v>
      </c>
    </row>
    <row r="5" spans="1:25" x14ac:dyDescent="0.25">
      <c r="A5" s="1" t="s">
        <v>8</v>
      </c>
      <c r="B5" s="1" t="s">
        <v>7</v>
      </c>
      <c r="C5" s="1">
        <v>4</v>
      </c>
      <c r="D5" s="8">
        <f>E4+1</f>
        <v>45402</v>
      </c>
      <c r="E5" s="8">
        <f>D5+C5-1</f>
        <v>45405</v>
      </c>
      <c r="F5" s="12">
        <f>IF(AND(F$3&gt;=$D5,F$3&lt;=$E5),"X",0)</f>
        <v>0</v>
      </c>
      <c r="G5" s="12">
        <f>IF(AND(G$3&gt;=$D5,G$3&lt;=$E5),"X",0)</f>
        <v>0</v>
      </c>
      <c r="H5" s="12">
        <f>IF(AND(H$3&gt;=$D5,H$3&lt;=$E5),"X",0)</f>
        <v>0</v>
      </c>
      <c r="I5" s="18">
        <f>IF(AND(I$3&gt;=$D5,I$3&lt;=$E5),"X",0)</f>
        <v>0</v>
      </c>
      <c r="J5" s="16" t="str">
        <f>IF(AND(J$3&gt;=$D5,J$3&lt;=$E5),"X",0)</f>
        <v>X</v>
      </c>
      <c r="K5" s="15" t="str">
        <f>IF(AND(K$3&gt;=$D5,K$3&lt;=$E5),"X",0)</f>
        <v>X</v>
      </c>
      <c r="L5" s="15" t="str">
        <f>IF(AND(L$3&gt;=$D5,L$3&lt;=$E5),"X",0)</f>
        <v>X</v>
      </c>
      <c r="M5" s="13" t="str">
        <f>IF(AND(M$3&gt;=$D5,M$3&lt;=$E5),"X",0)</f>
        <v>X</v>
      </c>
      <c r="N5" s="13">
        <f>IF(AND(N$3&gt;=$D5,N$3&lt;=$E5),"X",0)</f>
        <v>0</v>
      </c>
      <c r="O5" s="9">
        <f>IF(AND(O$3&gt;=$D5,O$3&lt;=$E5),"X",0)</f>
        <v>0</v>
      </c>
      <c r="P5" s="9">
        <f>IF(AND(P$3&gt;=$D5,P$3&lt;=$E5),"X",0)</f>
        <v>0</v>
      </c>
      <c r="Q5" s="1">
        <f>IF(AND(Q$3&gt;=$D5,Q$3&lt;=$E5),"X",0)</f>
        <v>0</v>
      </c>
      <c r="R5" s="1">
        <f>IF(AND(R$3&gt;=$D5,R$3&lt;=$E5),"X",0)</f>
        <v>0</v>
      </c>
      <c r="S5" s="1">
        <f>IF(AND(S$3&gt;=$D5,S$3&lt;=$E5),"X",0)</f>
        <v>0</v>
      </c>
      <c r="T5" s="1">
        <f>IF(AND(T$3&gt;=$D5,T$3&lt;=$E5),"X",0)</f>
        <v>0</v>
      </c>
      <c r="U5" s="1">
        <f>IF(AND(U$3&gt;=$D5,U$3&lt;=$E5),"X",0)</f>
        <v>0</v>
      </c>
      <c r="V5" s="1">
        <f>IF(AND(V$3&gt;=$D5,V$3&lt;=$E5),"X",0)</f>
        <v>0</v>
      </c>
      <c r="W5" s="1">
        <f>IF(AND(W$3&gt;=$D5,W$3&lt;=$E5),"X",0)</f>
        <v>0</v>
      </c>
      <c r="X5" s="1">
        <f>IF(AND(X$3&gt;=$D5,X$3&lt;=$E5),"X",0)</f>
        <v>0</v>
      </c>
      <c r="Y5" s="1">
        <f>IF(AND(Y$3&gt;=$D5,Y$3&lt;=$E5),"X",0)</f>
        <v>0</v>
      </c>
    </row>
    <row r="6" spans="1:25" x14ac:dyDescent="0.25">
      <c r="A6" s="1" t="s">
        <v>9</v>
      </c>
      <c r="B6" s="1" t="s">
        <v>19</v>
      </c>
      <c r="C6" s="1">
        <v>11</v>
      </c>
      <c r="D6" s="8">
        <f>C1</f>
        <v>45398</v>
      </c>
      <c r="E6" s="17">
        <f>D6+C6-1</f>
        <v>45408</v>
      </c>
      <c r="F6" s="6" t="str">
        <f>IF(AND(F$3&gt;=$D6,F$3&lt;=$E6),"X",0)</f>
        <v>X</v>
      </c>
      <c r="G6" s="10" t="str">
        <f>IF(AND(G$3&gt;=$D6,G$3&lt;=$E6),"X",0)</f>
        <v>X</v>
      </c>
      <c r="H6" s="10" t="str">
        <f>IF(AND(H$3&gt;=$D6,H$3&lt;=$E6),"X",0)</f>
        <v>X</v>
      </c>
      <c r="I6" s="10" t="str">
        <f>IF(AND(I$3&gt;=$D6,I$3&lt;=$E6),"X",0)</f>
        <v>X</v>
      </c>
      <c r="J6" s="10" t="str">
        <f>IF(AND(J$3&gt;=$D6,J$3&lt;=$E6),"X",0)</f>
        <v>X</v>
      </c>
      <c r="K6" s="10" t="str">
        <f>IF(AND(K$3&gt;=$D6,K$3&lt;=$E6),"X",0)</f>
        <v>X</v>
      </c>
      <c r="L6" s="10" t="str">
        <f>IF(AND(L$3&gt;=$D6,L$3&lt;=$E6),"X",0)</f>
        <v>X</v>
      </c>
      <c r="M6" s="10" t="str">
        <f>IF(AND(M$3&gt;=$D6,M$3&lt;=$E6),"X",0)</f>
        <v>X</v>
      </c>
      <c r="N6" s="10" t="str">
        <f>IF(AND(N$3&gt;=$D6,N$3&lt;=$E6),"X",0)</f>
        <v>X</v>
      </c>
      <c r="O6" s="10" t="str">
        <f>IF(AND(O$3&gt;=$D6,O$3&lt;=$E6),"X",0)</f>
        <v>X</v>
      </c>
      <c r="P6" s="5" t="str">
        <f>IF(AND(P$3&gt;=$D6,P$3&lt;=$E6),"X",0)</f>
        <v>X</v>
      </c>
      <c r="Q6" s="5">
        <f>IF(AND(Q$3&gt;=$D6,Q$3&lt;=$E6),"X",0)</f>
        <v>0</v>
      </c>
      <c r="R6" s="1">
        <f>IF(AND(R$3&gt;=$D6,R$3&lt;=$E6),"X",0)</f>
        <v>0</v>
      </c>
      <c r="S6" s="1">
        <f>IF(AND(S$3&gt;=$D6,S$3&lt;=$E6),"X",0)</f>
        <v>0</v>
      </c>
      <c r="T6" s="1">
        <f>IF(AND(T$3&gt;=$D6,T$3&lt;=$E6),"X",0)</f>
        <v>0</v>
      </c>
      <c r="U6" s="1">
        <f>IF(AND(U$3&gt;=$D6,U$3&lt;=$E6),"X",0)</f>
        <v>0</v>
      </c>
      <c r="V6" s="1">
        <f>IF(AND(V$3&gt;=$D6,V$3&lt;=$E6),"X",0)</f>
        <v>0</v>
      </c>
      <c r="W6" s="1">
        <f>IF(AND(W$3&gt;=$D6,W$3&lt;=$E6),"X",0)</f>
        <v>0</v>
      </c>
      <c r="X6" s="1">
        <f>IF(AND(X$3&gt;=$D6,X$3&lt;=$E6),"X",0)</f>
        <v>0</v>
      </c>
      <c r="Y6" s="1">
        <f>IF(AND(Y$3&gt;=$D6,Y$3&lt;=$E6),"X",0)</f>
        <v>0</v>
      </c>
    </row>
    <row r="7" spans="1:25" x14ac:dyDescent="0.25">
      <c r="A7" s="1" t="s">
        <v>10</v>
      </c>
      <c r="B7" s="1" t="s">
        <v>8</v>
      </c>
      <c r="C7" s="1">
        <v>3</v>
      </c>
      <c r="D7" s="8">
        <f>E5+1</f>
        <v>45406</v>
      </c>
      <c r="E7" s="8">
        <f>D7+C7-1</f>
        <v>45408</v>
      </c>
      <c r="F7" s="7">
        <f>IF(AND(F$3&gt;=$D7,F$3&lt;=$E7),"X",0)</f>
        <v>0</v>
      </c>
      <c r="G7" s="7">
        <f>IF(AND(G$3&gt;=$D7,G$3&lt;=$E7),"X",0)</f>
        <v>0</v>
      </c>
      <c r="H7" s="7">
        <f>IF(AND(H$3&gt;=$D7,H$3&lt;=$E7),"X",0)</f>
        <v>0</v>
      </c>
      <c r="I7" s="7">
        <f>IF(AND(I$3&gt;=$D7,I$3&lt;=$E7),"X",0)</f>
        <v>0</v>
      </c>
      <c r="J7" s="7">
        <f>IF(AND(J$3&gt;=$D7,J$3&lt;=$E7),"X",0)</f>
        <v>0</v>
      </c>
      <c r="K7" s="7">
        <f>IF(AND(K$3&gt;=$D7,K$3&lt;=$E7),"X",0)</f>
        <v>0</v>
      </c>
      <c r="L7" s="7">
        <f>IF(AND(L$3&gt;=$D7,L$3&lt;=$E7),"X",0)</f>
        <v>0</v>
      </c>
      <c r="M7" s="11">
        <f>IF(AND(M$3&gt;=$D7,M$3&lt;=$E7),"X",0)</f>
        <v>0</v>
      </c>
      <c r="N7" s="6" t="str">
        <f>IF(AND(N$3&gt;=$D7,N$3&lt;=$E7),"X",0)</f>
        <v>X</v>
      </c>
      <c r="O7" s="10" t="str">
        <f>IF(AND(O$3&gt;=$D7,O$3&lt;=$E7),"X",0)</f>
        <v>X</v>
      </c>
      <c r="P7" s="5" t="str">
        <f>IF(AND(P$3&gt;=$D7,P$3&lt;=$E7),"X",0)</f>
        <v>X</v>
      </c>
      <c r="Q7" s="13">
        <f>IF(AND(Q$3&gt;=$D7,Q$3&lt;=$E7),"X",0)</f>
        <v>0</v>
      </c>
      <c r="R7" s="9">
        <f>IF(AND(R$3&gt;=$D7,R$3&lt;=$E7),"X",0)</f>
        <v>0</v>
      </c>
      <c r="S7" s="9">
        <f>IF(AND(S$3&gt;=$D7,S$3&lt;=$E7),"X",0)</f>
        <v>0</v>
      </c>
      <c r="T7" s="9">
        <f>IF(AND(T$3&gt;=$D7,T$3&lt;=$E7),"X",0)</f>
        <v>0</v>
      </c>
      <c r="U7" s="1">
        <f>IF(AND(U$3&gt;=$D7,U$3&lt;=$E7),"X",0)</f>
        <v>0</v>
      </c>
      <c r="V7" s="1">
        <f>IF(AND(V$3&gt;=$D7,V$3&lt;=$E7),"X",0)</f>
        <v>0</v>
      </c>
      <c r="W7" s="1">
        <f>IF(AND(W$3&gt;=$D7,W$3&lt;=$E7),"X",0)</f>
        <v>0</v>
      </c>
      <c r="X7" s="1">
        <f>IF(AND(X$3&gt;=$D7,X$3&lt;=$E7),"X",0)</f>
        <v>0</v>
      </c>
      <c r="Y7" s="1">
        <f>IF(AND(Y$3&gt;=$D7,Y$3&lt;=$E7),"X",0)</f>
        <v>0</v>
      </c>
    </row>
    <row r="8" spans="1:25" x14ac:dyDescent="0.25">
      <c r="A8" s="1" t="s">
        <v>11</v>
      </c>
      <c r="B8" s="1" t="s">
        <v>10</v>
      </c>
      <c r="C8" s="1">
        <v>4</v>
      </c>
      <c r="D8" s="8">
        <f>E7+1</f>
        <v>45409</v>
      </c>
      <c r="E8" s="8">
        <f>D8+C8-1</f>
        <v>45412</v>
      </c>
      <c r="F8" s="1">
        <f>IF(AND(F$3&gt;=$D8,F$3&lt;=$E8),"X",0)</f>
        <v>0</v>
      </c>
      <c r="G8" s="1">
        <f>IF(AND(G$3&gt;=$D8,G$3&lt;=$E8),"X",0)</f>
        <v>0</v>
      </c>
      <c r="H8" s="1">
        <f>IF(AND(H$3&gt;=$D8,H$3&lt;=$E8),"X",0)</f>
        <v>0</v>
      </c>
      <c r="I8" s="1">
        <f>IF(AND(I$3&gt;=$D8,I$3&lt;=$E8),"X",0)</f>
        <v>0</v>
      </c>
      <c r="J8" s="1">
        <f>IF(AND(J$3&gt;=$D8,J$3&lt;=$E8),"X",0)</f>
        <v>0</v>
      </c>
      <c r="K8" s="1">
        <f>IF(AND(K$3&gt;=$D8,K$3&lt;=$E8),"X",0)</f>
        <v>0</v>
      </c>
      <c r="L8" s="1">
        <f>IF(AND(L$3&gt;=$D8,L$3&lt;=$E8),"X",0)</f>
        <v>0</v>
      </c>
      <c r="M8" s="1">
        <f>IF(AND(M$3&gt;=$D8,M$3&lt;=$E8),"X",0)</f>
        <v>0</v>
      </c>
      <c r="N8" s="7">
        <f>IF(AND(N$3&gt;=$D8,N$3&lt;=$E8),"X",0)</f>
        <v>0</v>
      </c>
      <c r="O8" s="7">
        <f>IF(AND(O$3&gt;=$D8,O$3&lt;=$E8),"X",0)</f>
        <v>0</v>
      </c>
      <c r="P8" s="11">
        <f>IF(AND(P$3&gt;=$D8,P$3&lt;=$E8),"X",0)</f>
        <v>0</v>
      </c>
      <c r="Q8" s="6" t="str">
        <f>IF(AND(Q$3&gt;=$D8,Q$3&lt;=$E8),"X",0)</f>
        <v>X</v>
      </c>
      <c r="R8" s="10" t="str">
        <f>IF(AND(R$3&gt;=$D8,R$3&lt;=$E8),"X",0)</f>
        <v>X</v>
      </c>
      <c r="S8" s="10" t="str">
        <f>IF(AND(S$3&gt;=$D8,S$3&lt;=$E8),"X",0)</f>
        <v>X</v>
      </c>
      <c r="T8" s="5" t="str">
        <f>IF(AND(T$3&gt;=$D8,T$3&lt;=$E8),"X",0)</f>
        <v>X</v>
      </c>
      <c r="U8" s="5">
        <f>IF(AND(U$3&gt;=$D8,U$3&lt;=$E8),"X",0)</f>
        <v>0</v>
      </c>
      <c r="V8" s="1">
        <f>IF(AND(V$3&gt;=$D8,V$3&lt;=$E8),"X",0)</f>
        <v>0</v>
      </c>
      <c r="W8" s="1">
        <f>IF(AND(W$3&gt;=$D8,W$3&lt;=$E8),"X",0)</f>
        <v>0</v>
      </c>
      <c r="X8" s="1">
        <f>IF(AND(X$3&gt;=$D8,X$3&lt;=$E8),"X",0)</f>
        <v>0</v>
      </c>
      <c r="Y8" s="1">
        <f>IF(AND(Y$3&gt;=$D8,Y$3&lt;=$E8),"X",0)</f>
        <v>0</v>
      </c>
    </row>
    <row r="9" spans="1:25" x14ac:dyDescent="0.25">
      <c r="A9" s="1" t="s">
        <v>12</v>
      </c>
      <c r="B9" s="1" t="s">
        <v>10</v>
      </c>
      <c r="C9" s="1">
        <v>3</v>
      </c>
      <c r="D9" s="8">
        <f>E7+1</f>
        <v>45409</v>
      </c>
      <c r="E9" s="8">
        <f>D9+C9-1</f>
        <v>45411</v>
      </c>
      <c r="F9" s="1">
        <f>IF(AND(F$3&gt;=$D9,F$3&lt;=$E9),"X",0)</f>
        <v>0</v>
      </c>
      <c r="G9" s="1">
        <f>IF(AND(G$3&gt;=$D9,G$3&lt;=$E9),"X",0)</f>
        <v>0</v>
      </c>
      <c r="H9" s="1">
        <f>IF(AND(H$3&gt;=$D9,H$3&lt;=$E9),"X",0)</f>
        <v>0</v>
      </c>
      <c r="I9" s="1">
        <f>IF(AND(I$3&gt;=$D9,I$3&lt;=$E9),"X",0)</f>
        <v>0</v>
      </c>
      <c r="J9" s="1">
        <f>IF(AND(J$3&gt;=$D9,J$3&lt;=$E9),"X",0)</f>
        <v>0</v>
      </c>
      <c r="K9" s="1">
        <f>IF(AND(K$3&gt;=$D9,K$3&lt;=$E9),"X",0)</f>
        <v>0</v>
      </c>
      <c r="L9" s="1">
        <f>IF(AND(L$3&gt;=$D9,L$3&lt;=$E9),"X",0)</f>
        <v>0</v>
      </c>
      <c r="M9" s="1">
        <f>IF(AND(M$3&gt;=$D9,M$3&lt;=$E9),"X",0)</f>
        <v>0</v>
      </c>
      <c r="N9" s="1">
        <f>IF(AND(N$3&gt;=$D9,N$3&lt;=$E9),"X",0)</f>
        <v>0</v>
      </c>
      <c r="O9" s="1">
        <f>IF(AND(O$3&gt;=$D9,O$3&lt;=$E9),"X",0)</f>
        <v>0</v>
      </c>
      <c r="P9" s="6">
        <f>IF(AND(P$3&gt;=$D9,P$3&lt;=$E9),"X",0)</f>
        <v>0</v>
      </c>
      <c r="Q9" s="16" t="str">
        <f>IF(AND(Q$3&gt;=$D9,Q$3&lt;=$E9),"X",0)</f>
        <v>X</v>
      </c>
      <c r="R9" s="15" t="str">
        <f>IF(AND(R$3&gt;=$D9,R$3&lt;=$E9),"X",0)</f>
        <v>X</v>
      </c>
      <c r="S9" s="13" t="str">
        <f>IF(AND(S$3&gt;=$D9,S$3&lt;=$E9),"X",0)</f>
        <v>X</v>
      </c>
      <c r="T9" s="14">
        <f>IF(AND(T$3&gt;=$D9,T$3&lt;=$E9),"X",0)</f>
        <v>0</v>
      </c>
      <c r="U9" s="1">
        <f>IF(AND(U$3&gt;=$D9,U$3&lt;=$E9),"X",0)</f>
        <v>0</v>
      </c>
      <c r="V9" s="1">
        <f>IF(AND(V$3&gt;=$D9,V$3&lt;=$E9),"X",0)</f>
        <v>0</v>
      </c>
      <c r="W9" s="1">
        <f>IF(AND(W$3&gt;=$D9,W$3&lt;=$E9),"X",0)</f>
        <v>0</v>
      </c>
      <c r="X9" s="1">
        <f>IF(AND(X$3&gt;=$D9,X$3&lt;=$E9),"X",0)</f>
        <v>0</v>
      </c>
      <c r="Y9" s="1">
        <f>IF(AND(Y$3&gt;=$D9,Y$3&lt;=$E9),"X",0)</f>
        <v>0</v>
      </c>
    </row>
    <row r="10" spans="1:25" x14ac:dyDescent="0.25">
      <c r="A10" s="1" t="s">
        <v>13</v>
      </c>
      <c r="B10" s="1" t="s">
        <v>10</v>
      </c>
      <c r="C10" s="1">
        <v>4</v>
      </c>
      <c r="D10" s="8">
        <f>E7+1</f>
        <v>45409</v>
      </c>
      <c r="E10" s="8">
        <f>D10+C10-1</f>
        <v>45412</v>
      </c>
      <c r="F10" s="1">
        <f>IF(AND(F$3&gt;=$D10,F$3&lt;=$E10),"X",0)</f>
        <v>0</v>
      </c>
      <c r="G10" s="1">
        <f>IF(AND(G$3&gt;=$D10,G$3&lt;=$E10),"X",0)</f>
        <v>0</v>
      </c>
      <c r="H10" s="1">
        <f>IF(AND(H$3&gt;=$D10,H$3&lt;=$E10),"X",0)</f>
        <v>0</v>
      </c>
      <c r="I10" s="1">
        <f>IF(AND(I$3&gt;=$D10,I$3&lt;=$E10),"X",0)</f>
        <v>0</v>
      </c>
      <c r="J10" s="1">
        <f>IF(AND(J$3&gt;=$D10,J$3&lt;=$E10),"X",0)</f>
        <v>0</v>
      </c>
      <c r="K10" s="1">
        <f>IF(AND(K$3&gt;=$D10,K$3&lt;=$E10),"X",0)</f>
        <v>0</v>
      </c>
      <c r="L10" s="1">
        <f>IF(AND(L$3&gt;=$D10,L$3&lt;=$E10),"X",0)</f>
        <v>0</v>
      </c>
      <c r="M10" s="1">
        <f>IF(AND(M$3&gt;=$D10,M$3&lt;=$E10),"X",0)</f>
        <v>0</v>
      </c>
      <c r="N10" s="1">
        <f>IF(AND(N$3&gt;=$D10,N$3&lt;=$E10),"X",0)</f>
        <v>0</v>
      </c>
      <c r="O10" s="1">
        <f>IF(AND(O$3&gt;=$D10,O$3&lt;=$E10),"X",0)</f>
        <v>0</v>
      </c>
      <c r="P10" s="6">
        <f>IF(AND(P$3&gt;=$D10,P$3&lt;=$E10),"X",0)</f>
        <v>0</v>
      </c>
      <c r="Q10" s="6" t="str">
        <f>IF(AND(Q$3&gt;=$D10,Q$3&lt;=$E10),"X",0)</f>
        <v>X</v>
      </c>
      <c r="R10" s="10" t="str">
        <f>IF(AND(R$3&gt;=$D10,R$3&lt;=$E10),"X",0)</f>
        <v>X</v>
      </c>
      <c r="S10" s="10" t="str">
        <f>IF(AND(S$3&gt;=$D10,S$3&lt;=$E10),"X",0)</f>
        <v>X</v>
      </c>
      <c r="T10" s="5" t="str">
        <f>IF(AND(T$3&gt;=$D10,T$3&lt;=$E10),"X",0)</f>
        <v>X</v>
      </c>
      <c r="U10" s="13">
        <f>IF(AND(U$3&gt;=$D10,U$3&lt;=$E10),"X",0)</f>
        <v>0</v>
      </c>
      <c r="V10" s="9">
        <f>IF(AND(V$3&gt;=$D10,V$3&lt;=$E10),"X",0)</f>
        <v>0</v>
      </c>
      <c r="W10" s="9">
        <f>IF(AND(W$3&gt;=$D10,W$3&lt;=$E10),"X",0)</f>
        <v>0</v>
      </c>
      <c r="X10" s="1">
        <f>IF(AND(X$3&gt;=$D10,X$3&lt;=$E10),"X",0)</f>
        <v>0</v>
      </c>
      <c r="Y10" s="1">
        <f>IF(AND(Y$3&gt;=$D10,Y$3&lt;=$E10),"X",0)</f>
        <v>0</v>
      </c>
    </row>
    <row r="11" spans="1:25" x14ac:dyDescent="0.25">
      <c r="A11" s="1" t="s">
        <v>14</v>
      </c>
      <c r="B11" s="1" t="s">
        <v>18</v>
      </c>
      <c r="C11" s="1">
        <v>3</v>
      </c>
      <c r="D11" s="8">
        <f>MAX(E8:E10)+1</f>
        <v>45413</v>
      </c>
      <c r="E11" s="8">
        <f>D11+C11-1</f>
        <v>45415</v>
      </c>
      <c r="F11" s="1">
        <f>IF(AND(F$3&gt;=$D11,F$3&lt;=$E11),"X",0)</f>
        <v>0</v>
      </c>
      <c r="G11" s="1">
        <f>IF(AND(G$3&gt;=$D11,G$3&lt;=$E11),"X",0)</f>
        <v>0</v>
      </c>
      <c r="H11" s="1">
        <f>IF(AND(H$3&gt;=$D11,H$3&lt;=$E11),"X",0)</f>
        <v>0</v>
      </c>
      <c r="I11" s="1">
        <f>IF(AND(I$3&gt;=$D11,I$3&lt;=$E11),"X",0)</f>
        <v>0</v>
      </c>
      <c r="J11" s="1">
        <f>IF(AND(J$3&gt;=$D11,J$3&lt;=$E11),"X",0)</f>
        <v>0</v>
      </c>
      <c r="K11" s="1">
        <f>IF(AND(K$3&gt;=$D11,K$3&lt;=$E11),"X",0)</f>
        <v>0</v>
      </c>
      <c r="L11" s="1">
        <f>IF(AND(L$3&gt;=$D11,L$3&lt;=$E11),"X",0)</f>
        <v>0</v>
      </c>
      <c r="M11" s="1">
        <f>IF(AND(M$3&gt;=$D11,M$3&lt;=$E11),"X",0)</f>
        <v>0</v>
      </c>
      <c r="N11" s="1">
        <f>IF(AND(N$3&gt;=$D11,N$3&lt;=$E11),"X",0)</f>
        <v>0</v>
      </c>
      <c r="O11" s="1">
        <f>IF(AND(O$3&gt;=$D11,O$3&lt;=$E11),"X",0)</f>
        <v>0</v>
      </c>
      <c r="P11" s="1">
        <f>IF(AND(P$3&gt;=$D11,P$3&lt;=$E11),"X",0)</f>
        <v>0</v>
      </c>
      <c r="Q11" s="12">
        <f>IF(AND(Q$3&gt;=$D11,Q$3&lt;=$E11),"X",0)</f>
        <v>0</v>
      </c>
      <c r="R11" s="7">
        <f>IF(AND(R$3&gt;=$D11,R$3&lt;=$E11),"X",0)</f>
        <v>0</v>
      </c>
      <c r="S11" s="7">
        <f>IF(AND(S$3&gt;=$D11,S$3&lt;=$E11),"X",0)</f>
        <v>0</v>
      </c>
      <c r="T11" s="11">
        <f>IF(AND(T$3&gt;=$D11,T$3&lt;=$E11),"X",0)</f>
        <v>0</v>
      </c>
      <c r="U11" s="6" t="str">
        <f>IF(AND(U$3&gt;=$D11,U$3&lt;=$E11),"X",0)</f>
        <v>X</v>
      </c>
      <c r="V11" s="10" t="str">
        <f>IF(AND(V$3&gt;=$D11,V$3&lt;=$E11),"X",0)</f>
        <v>X</v>
      </c>
      <c r="W11" s="5" t="str">
        <f>IF(AND(W$3&gt;=$D11,W$3&lt;=$E11),"X",0)</f>
        <v>X</v>
      </c>
      <c r="X11" s="5">
        <f>IF(AND(X$3&gt;=$D11,X$3&lt;=$E11),"X",0)</f>
        <v>0</v>
      </c>
      <c r="Y11" s="1">
        <f>IF(AND(Y$3&gt;=$D11,Y$3&lt;=$E11),"X",0)</f>
        <v>0</v>
      </c>
    </row>
    <row r="12" spans="1:25" x14ac:dyDescent="0.25">
      <c r="A12" s="1" t="s">
        <v>15</v>
      </c>
      <c r="B12" s="1" t="s">
        <v>17</v>
      </c>
      <c r="C12" s="1">
        <v>1</v>
      </c>
      <c r="D12" s="8">
        <f>MAX(E5:E6)+1</f>
        <v>45409</v>
      </c>
      <c r="E12" s="8">
        <f>D12+C12-1</f>
        <v>45409</v>
      </c>
      <c r="F12" s="1">
        <f>IF(AND(F$3&gt;=$D12,F$3&lt;=$E12),"X",0)</f>
        <v>0</v>
      </c>
      <c r="G12" s="1">
        <f>IF(AND(G$3&gt;=$D12,G$3&lt;=$E12),"X",0)</f>
        <v>0</v>
      </c>
      <c r="H12" s="1">
        <f>IF(AND(H$3&gt;=$D12,H$3&lt;=$E12),"X",0)</f>
        <v>0</v>
      </c>
      <c r="I12" s="1">
        <f>IF(AND(I$3&gt;=$D12,I$3&lt;=$E12),"X",0)</f>
        <v>0</v>
      </c>
      <c r="J12" s="1">
        <f>IF(AND(J$3&gt;=$D12,J$3&lt;=$E12),"X",0)</f>
        <v>0</v>
      </c>
      <c r="K12" s="1">
        <f>IF(AND(K$3&gt;=$D12,K$3&lt;=$E12),"X",0)</f>
        <v>0</v>
      </c>
      <c r="L12" s="1">
        <f>IF(AND(L$3&gt;=$D12,L$3&lt;=$E12),"X",0)</f>
        <v>0</v>
      </c>
      <c r="M12" s="1">
        <f>IF(AND(M$3&gt;=$D12,M$3&lt;=$E12),"X",0)</f>
        <v>0</v>
      </c>
      <c r="N12" s="1">
        <f>IF(AND(N$3&gt;=$D12,N$3&lt;=$E12),"X",0)</f>
        <v>0</v>
      </c>
      <c r="O12" s="1">
        <f>IF(AND(O$3&gt;=$D12,O$3&lt;=$E12),"X",0)</f>
        <v>0</v>
      </c>
      <c r="P12" s="6">
        <f>IF(AND(P$3&gt;=$D12,P$3&lt;=$E12),"X",0)</f>
        <v>0</v>
      </c>
      <c r="Q12" s="1" t="str">
        <f>IF(AND(Q$3&gt;=$D12,Q$3&lt;=$E12),"X",0)</f>
        <v>X</v>
      </c>
      <c r="R12" s="5">
        <f>IF(AND(R$3&gt;=$D12,R$3&lt;=$E12),"X",0)</f>
        <v>0</v>
      </c>
      <c r="S12" s="1">
        <f>IF(AND(S$3&gt;=$D12,S$3&lt;=$E12),"X",0)</f>
        <v>0</v>
      </c>
      <c r="T12" s="1">
        <f>IF(AND(T$3&gt;=$D12,T$3&lt;=$E12),"X",0)</f>
        <v>0</v>
      </c>
      <c r="U12" s="7">
        <f>IF(AND(U$3&gt;=$D12,U$3&lt;=$E12),"X",0)</f>
        <v>0</v>
      </c>
      <c r="V12" s="7">
        <f>IF(AND(V$3&gt;=$D12,V$3&lt;=$E12),"X",0)</f>
        <v>0</v>
      </c>
      <c r="W12" s="7">
        <f>IF(AND(W$3&gt;=$D12,W$3&lt;=$E12),"X",0)</f>
        <v>0</v>
      </c>
      <c r="X12" s="9">
        <f>IF(AND(X$3&gt;=$D12,X$3&lt;=$E12),"X",0)</f>
        <v>0</v>
      </c>
      <c r="Y12" s="9">
        <f>IF(AND(Y$3&gt;=$D12,Y$3&lt;=$E12),"X",0)</f>
        <v>0</v>
      </c>
    </row>
    <row r="13" spans="1:25" x14ac:dyDescent="0.25">
      <c r="A13" s="1" t="s">
        <v>16</v>
      </c>
      <c r="B13" s="1" t="s">
        <v>14</v>
      </c>
      <c r="C13" s="1">
        <v>2</v>
      </c>
      <c r="D13" s="8">
        <f>E11+1</f>
        <v>45416</v>
      </c>
      <c r="E13" s="8">
        <f>D13+C13-1</f>
        <v>45417</v>
      </c>
      <c r="F13" s="1">
        <f>IF(AND(F$3&gt;=$D13,F$3&lt;=$E13),"X",0)</f>
        <v>0</v>
      </c>
      <c r="G13" s="1">
        <f>IF(AND(G$3&gt;=$D13,G$3&lt;=$E13),"X",0)</f>
        <v>0</v>
      </c>
      <c r="H13" s="1">
        <f>IF(AND(H$3&gt;=$D13,H$3&lt;=$E13),"X",0)</f>
        <v>0</v>
      </c>
      <c r="I13" s="1">
        <f>IF(AND(I$3&gt;=$D13,I$3&lt;=$E13),"X",0)</f>
        <v>0</v>
      </c>
      <c r="J13" s="1">
        <f>IF(AND(J$3&gt;=$D13,J$3&lt;=$E13),"X",0)</f>
        <v>0</v>
      </c>
      <c r="K13" s="1">
        <f>IF(AND(K$3&gt;=$D13,K$3&lt;=$E13),"X",0)</f>
        <v>0</v>
      </c>
      <c r="L13" s="1">
        <f>IF(AND(L$3&gt;=$D13,L$3&lt;=$E13),"X",0)</f>
        <v>0</v>
      </c>
      <c r="M13" s="1">
        <f>IF(AND(M$3&gt;=$D13,M$3&lt;=$E13),"X",0)</f>
        <v>0</v>
      </c>
      <c r="N13" s="1">
        <f>IF(AND(N$3&gt;=$D13,N$3&lt;=$E13),"X",0)</f>
        <v>0</v>
      </c>
      <c r="O13" s="1">
        <f>IF(AND(O$3&gt;=$D13,O$3&lt;=$E13),"X",0)</f>
        <v>0</v>
      </c>
      <c r="P13" s="1">
        <f>IF(AND(P$3&gt;=$D13,P$3&lt;=$E13),"X",0)</f>
        <v>0</v>
      </c>
      <c r="Q13" s="7">
        <f>IF(AND(Q$3&gt;=$D13,Q$3&lt;=$E13),"X",0)</f>
        <v>0</v>
      </c>
      <c r="R13" s="1">
        <f>IF(AND(R$3&gt;=$D13,R$3&lt;=$E13),"X",0)</f>
        <v>0</v>
      </c>
      <c r="S13" s="1">
        <f>IF(AND(S$3&gt;=$D13,S$3&lt;=$E13),"X",0)</f>
        <v>0</v>
      </c>
      <c r="T13" s="1">
        <f>IF(AND(T$3&gt;=$D13,T$3&lt;=$E13),"X",0)</f>
        <v>0</v>
      </c>
      <c r="U13" s="1">
        <f>IF(AND(U$3&gt;=$D13,U$3&lt;=$E13),"X",0)</f>
        <v>0</v>
      </c>
      <c r="V13" s="1">
        <f>IF(AND(V$3&gt;=$D13,V$3&lt;=$E13),"X",0)</f>
        <v>0</v>
      </c>
      <c r="W13" s="6">
        <f>IF(AND(W$3&gt;=$D13,W$3&lt;=$E13),"X",0)</f>
        <v>0</v>
      </c>
      <c r="X13" s="6" t="str">
        <f>IF(AND(X$3&gt;=$D13,X$3&lt;=$E13),"X",0)</f>
        <v>X</v>
      </c>
      <c r="Y13" s="5" t="str">
        <f>IF(AND(Y$3&gt;=$D13,Y$3&lt;=$E13),"X",0)</f>
        <v>X</v>
      </c>
    </row>
  </sheetData>
  <conditionalFormatting sqref="F4:Y4">
    <cfRule type="cellIs" dxfId="11" priority="12" operator="equal">
      <formula>"X"</formula>
    </cfRule>
  </conditionalFormatting>
  <conditionalFormatting sqref="F4:Y6">
    <cfRule type="cellIs" dxfId="10" priority="10" operator="equal">
      <formula>0</formula>
    </cfRule>
  </conditionalFormatting>
  <conditionalFormatting sqref="F5:Y5">
    <cfRule type="cellIs" dxfId="9" priority="11" operator="equal">
      <formula>"X"</formula>
    </cfRule>
  </conditionalFormatting>
  <conditionalFormatting sqref="F6:Y6">
    <cfRule type="cellIs" dxfId="8" priority="9" operator="equal">
      <formula>"X"</formula>
    </cfRule>
  </conditionalFormatting>
  <conditionalFormatting sqref="F7:Y7">
    <cfRule type="cellIs" dxfId="7" priority="7" operator="equal">
      <formula>"X"</formula>
    </cfRule>
  </conditionalFormatting>
  <conditionalFormatting sqref="F7:Y13">
    <cfRule type="cellIs" dxfId="6" priority="8" operator="equal">
      <formula>0</formula>
    </cfRule>
  </conditionalFormatting>
  <conditionalFormatting sqref="F8:Y8">
    <cfRule type="cellIs" dxfId="5" priority="6" operator="equal">
      <formula>"X"</formula>
    </cfRule>
  </conditionalFormatting>
  <conditionalFormatting sqref="F9:Y9">
    <cfRule type="cellIs" dxfId="4" priority="5" operator="equal">
      <formula>"X"</formula>
    </cfRule>
  </conditionalFormatting>
  <conditionalFormatting sqref="F10:Y10">
    <cfRule type="cellIs" dxfId="3" priority="4" operator="equal">
      <formula>"X"</formula>
    </cfRule>
  </conditionalFormatting>
  <conditionalFormatting sqref="F11:Y11">
    <cfRule type="cellIs" dxfId="2" priority="3" operator="equal">
      <formula>"X"</formula>
    </cfRule>
  </conditionalFormatting>
  <conditionalFormatting sqref="F12:Y12">
    <cfRule type="cellIs" dxfId="1" priority="2" operator="equal">
      <formula>"X"</formula>
    </cfRule>
  </conditionalFormatting>
  <conditionalFormatting sqref="F13:Y13">
    <cfRule type="cellIs" dxfId="0" priority="1" operator="equal">
      <formula>"X"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Record MRP</vt:lpstr>
      <vt:lpstr>Diagramma di Gantt</vt:lpstr>
      <vt:lpstr>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Chiara D'Alia</cp:lastModifiedBy>
  <dcterms:created xsi:type="dcterms:W3CDTF">2024-04-11T09:32:50Z</dcterms:created>
  <dcterms:modified xsi:type="dcterms:W3CDTF">2024-04-17T19:43:00Z</dcterms:modified>
</cp:coreProperties>
</file>