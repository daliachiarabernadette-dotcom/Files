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iar\Desktop\Chiavetta\Gpo\"/>
    </mc:Choice>
  </mc:AlternateContent>
  <xr:revisionPtr revIDLastSave="0" documentId="13_ncr:1_{91C05C49-8F3A-4E88-8802-D226397892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ia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I22" i="1"/>
  <c r="I4" i="1"/>
  <c r="J4" i="1"/>
  <c r="G5" i="1"/>
  <c r="F5" i="1"/>
  <c r="J22" i="1" l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K4" i="1"/>
  <c r="J6" i="1"/>
  <c r="F6" i="1"/>
  <c r="G6" i="1" s="1"/>
  <c r="F7" i="1"/>
  <c r="I6" i="1" l="1"/>
  <c r="G7" i="1"/>
  <c r="J7" i="1" s="1"/>
  <c r="L4" i="1"/>
  <c r="K6" i="1"/>
  <c r="K7" i="1"/>
  <c r="F8" i="1"/>
  <c r="F10" i="1" l="1"/>
  <c r="I7" i="1"/>
  <c r="M4" i="1"/>
  <c r="L7" i="1"/>
  <c r="L6" i="1"/>
  <c r="F9" i="1"/>
  <c r="G9" i="1" s="1"/>
  <c r="G8" i="1"/>
  <c r="K8" i="1" s="1"/>
  <c r="L8" i="1" l="1"/>
  <c r="J8" i="1"/>
  <c r="I8" i="1"/>
  <c r="I9" i="1"/>
  <c r="J9" i="1"/>
  <c r="K9" i="1"/>
  <c r="N4" i="1"/>
  <c r="M6" i="1"/>
  <c r="M7" i="1"/>
  <c r="M8" i="1"/>
  <c r="M9" i="1"/>
  <c r="G10" i="1"/>
  <c r="K10" i="1" s="1"/>
  <c r="L9" i="1"/>
  <c r="F11" i="1"/>
  <c r="F13" i="1"/>
  <c r="F12" i="1"/>
  <c r="M10" i="1" l="1"/>
  <c r="J10" i="1"/>
  <c r="I10" i="1"/>
  <c r="F14" i="1"/>
  <c r="G14" i="1"/>
  <c r="I14" i="1" s="1"/>
  <c r="J14" i="1"/>
  <c r="L14" i="1"/>
  <c r="I12" i="1"/>
  <c r="O4" i="1"/>
  <c r="N9" i="1"/>
  <c r="N6" i="1"/>
  <c r="N7" i="1"/>
  <c r="N12" i="1"/>
  <c r="N8" i="1"/>
  <c r="N10" i="1"/>
  <c r="G11" i="1"/>
  <c r="M11" i="1" s="1"/>
  <c r="J11" i="1"/>
  <c r="I11" i="1"/>
  <c r="K11" i="1"/>
  <c r="L11" i="1"/>
  <c r="M14" i="1"/>
  <c r="L10" i="1"/>
  <c r="F15" i="1"/>
  <c r="G12" i="1"/>
  <c r="J12" i="1" s="1"/>
  <c r="G13" i="1"/>
  <c r="I13" i="1" s="1"/>
  <c r="M12" i="1" l="1"/>
  <c r="L13" i="1"/>
  <c r="L12" i="1"/>
  <c r="N13" i="1"/>
  <c r="K13" i="1"/>
  <c r="M13" i="1"/>
  <c r="N14" i="1"/>
  <c r="J13" i="1"/>
  <c r="K12" i="1"/>
  <c r="K14" i="1"/>
  <c r="G15" i="1"/>
  <c r="N15" i="1" s="1"/>
  <c r="J15" i="1"/>
  <c r="M15" i="1"/>
  <c r="N11" i="1"/>
  <c r="P4" i="1"/>
  <c r="O8" i="1"/>
  <c r="O12" i="1"/>
  <c r="O10" i="1"/>
  <c r="O6" i="1"/>
  <c r="O11" i="1"/>
  <c r="O7" i="1"/>
  <c r="O13" i="1"/>
  <c r="O9" i="1"/>
  <c r="O14" i="1"/>
  <c r="F16" i="1"/>
  <c r="O15" i="1" l="1"/>
  <c r="L15" i="1"/>
  <c r="K16" i="1"/>
  <c r="Q4" i="1"/>
  <c r="P7" i="1"/>
  <c r="P11" i="1"/>
  <c r="P15" i="1"/>
  <c r="P9" i="1"/>
  <c r="P14" i="1"/>
  <c r="P10" i="1"/>
  <c r="P6" i="1"/>
  <c r="P12" i="1"/>
  <c r="P8" i="1"/>
  <c r="P13" i="1"/>
  <c r="K15" i="1"/>
  <c r="I15" i="1"/>
  <c r="G16" i="1"/>
  <c r="L16" i="1" s="1"/>
  <c r="N16" i="1" l="1"/>
  <c r="M16" i="1"/>
  <c r="I16" i="1"/>
  <c r="R4" i="1"/>
  <c r="Q6" i="1"/>
  <c r="Q10" i="1"/>
  <c r="Q14" i="1"/>
  <c r="Q12" i="1"/>
  <c r="Q8" i="1"/>
  <c r="Q13" i="1"/>
  <c r="Q9" i="1"/>
  <c r="Q15" i="1"/>
  <c r="Q11" i="1"/>
  <c r="Q16" i="1"/>
  <c r="Q7" i="1"/>
  <c r="P16" i="1"/>
  <c r="J16" i="1"/>
  <c r="O16" i="1"/>
  <c r="F17" i="1"/>
  <c r="G17" i="1" s="1"/>
  <c r="B2" i="1" s="1"/>
  <c r="G35" i="1"/>
  <c r="S4" i="1" l="1"/>
  <c r="R9" i="1"/>
  <c r="R13" i="1"/>
  <c r="R7" i="1"/>
  <c r="R12" i="1"/>
  <c r="R8" i="1"/>
  <c r="R14" i="1"/>
  <c r="R10" i="1"/>
  <c r="R15" i="1"/>
  <c r="R6" i="1"/>
  <c r="R17" i="1" s="1"/>
  <c r="R11" i="1"/>
  <c r="R16" i="1"/>
  <c r="A52" i="1"/>
  <c r="F35" i="1"/>
  <c r="M18" i="1"/>
  <c r="P17" i="1"/>
  <c r="L18" i="1"/>
  <c r="O18" i="1"/>
  <c r="K17" i="1"/>
  <c r="N18" i="1"/>
  <c r="J18" i="1"/>
  <c r="Q17" i="1"/>
  <c r="M17" i="1"/>
  <c r="I17" i="1"/>
  <c r="G33" i="1" l="1"/>
  <c r="F33" i="1" s="1"/>
  <c r="G29" i="1" s="1"/>
  <c r="F29" i="1" s="1"/>
  <c r="G34" i="1"/>
  <c r="F34" i="1" s="1"/>
  <c r="T4" i="1"/>
  <c r="S8" i="1"/>
  <c r="S12" i="1"/>
  <c r="S16" i="1"/>
  <c r="S6" i="1"/>
  <c r="S11" i="1"/>
  <c r="S7" i="1"/>
  <c r="S13" i="1"/>
  <c r="S9" i="1"/>
  <c r="S14" i="1"/>
  <c r="S10" i="1"/>
  <c r="S15" i="1"/>
  <c r="L17" i="1"/>
  <c r="O17" i="1"/>
  <c r="R18" i="1"/>
  <c r="P18" i="1"/>
  <c r="N17" i="1"/>
  <c r="K18" i="1"/>
  <c r="Q18" i="1"/>
  <c r="J17" i="1"/>
  <c r="I18" i="1"/>
  <c r="S18" i="1" l="1"/>
  <c r="G31" i="1"/>
  <c r="F31" i="1" s="1"/>
  <c r="G32" i="1"/>
  <c r="F32" i="1" s="1"/>
  <c r="G28" i="1" s="1"/>
  <c r="F28" i="1" s="1"/>
  <c r="G30" i="1"/>
  <c r="F30" i="1" s="1"/>
  <c r="G26" i="1" s="1"/>
  <c r="F26" i="1" s="1"/>
  <c r="G27" i="1"/>
  <c r="F27" i="1" s="1"/>
  <c r="G24" i="1" s="1"/>
  <c r="F24" i="1" s="1"/>
  <c r="A51" i="1"/>
  <c r="B51" i="1" s="1"/>
  <c r="C51" i="1" s="1"/>
  <c r="S17" i="1"/>
  <c r="U4" i="1"/>
  <c r="T7" i="1"/>
  <c r="T11" i="1"/>
  <c r="T15" i="1"/>
  <c r="T10" i="1"/>
  <c r="T16" i="1"/>
  <c r="T6" i="1"/>
  <c r="T12" i="1"/>
  <c r="T8" i="1"/>
  <c r="T13" i="1"/>
  <c r="T9" i="1"/>
  <c r="T14" i="1"/>
  <c r="A50" i="1"/>
  <c r="B50" i="1" s="1"/>
  <c r="C50" i="1" s="1"/>
  <c r="G25" i="1" l="1"/>
  <c r="F25" i="1" s="1"/>
  <c r="T18" i="1"/>
  <c r="T17" i="1"/>
  <c r="R34" i="1"/>
  <c r="I34" i="1"/>
  <c r="L34" i="1"/>
  <c r="O34" i="1"/>
  <c r="U34" i="1"/>
  <c r="M34" i="1"/>
  <c r="Z34" i="1"/>
  <c r="K34" i="1"/>
  <c r="V34" i="1"/>
  <c r="J34" i="1"/>
  <c r="Q34" i="1"/>
  <c r="W34" i="1"/>
  <c r="Y34" i="1"/>
  <c r="S34" i="1"/>
  <c r="T34" i="1"/>
  <c r="P34" i="1"/>
  <c r="X34" i="1"/>
  <c r="N34" i="1"/>
  <c r="Y33" i="1"/>
  <c r="I33" i="1"/>
  <c r="P33" i="1"/>
  <c r="O33" i="1"/>
  <c r="W33" i="1"/>
  <c r="S33" i="1"/>
  <c r="V33" i="1"/>
  <c r="J33" i="1"/>
  <c r="X33" i="1"/>
  <c r="M33" i="1"/>
  <c r="T33" i="1"/>
  <c r="Z33" i="1"/>
  <c r="L33" i="1"/>
  <c r="K33" i="1"/>
  <c r="Q33" i="1"/>
  <c r="U33" i="1"/>
  <c r="N33" i="1"/>
  <c r="R33" i="1"/>
  <c r="V4" i="1"/>
  <c r="U6" i="1"/>
  <c r="U10" i="1"/>
  <c r="U14" i="1"/>
  <c r="U9" i="1"/>
  <c r="U15" i="1"/>
  <c r="U11" i="1"/>
  <c r="U16" i="1"/>
  <c r="U7" i="1"/>
  <c r="U12" i="1"/>
  <c r="U8" i="1"/>
  <c r="U13" i="1"/>
  <c r="A48" i="1" l="1"/>
  <c r="B48" i="1" s="1"/>
  <c r="C48" i="1" s="1"/>
  <c r="W4" i="1"/>
  <c r="V9" i="1"/>
  <c r="V13" i="1"/>
  <c r="V8" i="1"/>
  <c r="V14" i="1"/>
  <c r="V10" i="1"/>
  <c r="V15" i="1"/>
  <c r="V6" i="1"/>
  <c r="V11" i="1"/>
  <c r="V16" i="1"/>
  <c r="V7" i="1"/>
  <c r="V12" i="1"/>
  <c r="A49" i="1"/>
  <c r="B49" i="1" s="1"/>
  <c r="C49" i="1" s="1"/>
  <c r="U18" i="1"/>
  <c r="U17" i="1"/>
  <c r="A46" i="1"/>
  <c r="B46" i="1" s="1"/>
  <c r="C46" i="1" s="1"/>
  <c r="A47" i="1"/>
  <c r="B47" i="1" s="1"/>
  <c r="C47" i="1" s="1"/>
  <c r="S30" i="1" l="1"/>
  <c r="I30" i="1"/>
  <c r="M30" i="1"/>
  <c r="U30" i="1"/>
  <c r="T30" i="1"/>
  <c r="V30" i="1"/>
  <c r="Z30" i="1"/>
  <c r="Y30" i="1"/>
  <c r="W30" i="1"/>
  <c r="P30" i="1"/>
  <c r="R30" i="1"/>
  <c r="N30" i="1"/>
  <c r="O30" i="1"/>
  <c r="J30" i="1"/>
  <c r="Q30" i="1"/>
  <c r="X30" i="1"/>
  <c r="K30" i="1"/>
  <c r="L30" i="1"/>
  <c r="P32" i="1"/>
  <c r="I32" i="1"/>
  <c r="Z32" i="1"/>
  <c r="L32" i="1"/>
  <c r="K32" i="1"/>
  <c r="M32" i="1"/>
  <c r="X32" i="1"/>
  <c r="Y32" i="1"/>
  <c r="R32" i="1"/>
  <c r="V32" i="1"/>
  <c r="W32" i="1"/>
  <c r="T32" i="1"/>
  <c r="U32" i="1"/>
  <c r="S32" i="1"/>
  <c r="N32" i="1"/>
  <c r="O32" i="1"/>
  <c r="Q32" i="1"/>
  <c r="J32" i="1"/>
  <c r="X4" i="1"/>
  <c r="W8" i="1"/>
  <c r="W12" i="1"/>
  <c r="W16" i="1"/>
  <c r="W7" i="1"/>
  <c r="W13" i="1"/>
  <c r="W9" i="1"/>
  <c r="W14" i="1"/>
  <c r="W10" i="1"/>
  <c r="W15" i="1"/>
  <c r="W6" i="1"/>
  <c r="W11" i="1"/>
  <c r="J29" i="1"/>
  <c r="I29" i="1"/>
  <c r="T29" i="1"/>
  <c r="Z29" i="1"/>
  <c r="W29" i="1"/>
  <c r="Y29" i="1"/>
  <c r="S29" i="1"/>
  <c r="K29" i="1"/>
  <c r="M29" i="1"/>
  <c r="U29" i="1"/>
  <c r="V29" i="1"/>
  <c r="Q29" i="1"/>
  <c r="R29" i="1"/>
  <c r="L29" i="1"/>
  <c r="X29" i="1"/>
  <c r="O29" i="1"/>
  <c r="N29" i="1"/>
  <c r="P29" i="1"/>
  <c r="V18" i="1"/>
  <c r="V17" i="1"/>
  <c r="I31" i="1"/>
  <c r="M31" i="1"/>
  <c r="X31" i="1"/>
  <c r="K31" i="1"/>
  <c r="N31" i="1"/>
  <c r="R31" i="1"/>
  <c r="S31" i="1"/>
  <c r="J31" i="1"/>
  <c r="T31" i="1"/>
  <c r="Y31" i="1"/>
  <c r="O31" i="1"/>
  <c r="P31" i="1"/>
  <c r="L31" i="1"/>
  <c r="Z31" i="1"/>
  <c r="Q31" i="1"/>
  <c r="U31" i="1"/>
  <c r="V31" i="1"/>
  <c r="W31" i="1"/>
  <c r="Y4" i="1" l="1"/>
  <c r="X7" i="1"/>
  <c r="X11" i="1"/>
  <c r="X15" i="1"/>
  <c r="X6" i="1"/>
  <c r="X12" i="1"/>
  <c r="X8" i="1"/>
  <c r="X13" i="1"/>
  <c r="X9" i="1"/>
  <c r="X14" i="1"/>
  <c r="X10" i="1"/>
  <c r="X16" i="1"/>
  <c r="W18" i="1"/>
  <c r="W17" i="1"/>
  <c r="A44" i="1"/>
  <c r="B44" i="1" s="1"/>
  <c r="C44" i="1" s="1"/>
  <c r="A45" i="1"/>
  <c r="B45" i="1" s="1"/>
  <c r="C45" i="1" s="1"/>
  <c r="A43" i="1"/>
  <c r="B43" i="1" s="1"/>
  <c r="C43" i="1" s="1"/>
  <c r="I28" i="1" l="1"/>
  <c r="N28" i="1"/>
  <c r="K28" i="1"/>
  <c r="Q28" i="1"/>
  <c r="P28" i="1"/>
  <c r="X28" i="1"/>
  <c r="S28" i="1"/>
  <c r="Z28" i="1"/>
  <c r="T28" i="1"/>
  <c r="Y28" i="1"/>
  <c r="W28" i="1"/>
  <c r="J28" i="1"/>
  <c r="O28" i="1"/>
  <c r="U28" i="1"/>
  <c r="R28" i="1"/>
  <c r="V28" i="1"/>
  <c r="L28" i="1"/>
  <c r="M28" i="1"/>
  <c r="A42" i="1"/>
  <c r="I26" i="1"/>
  <c r="Y26" i="1"/>
  <c r="X26" i="1"/>
  <c r="Q26" i="1"/>
  <c r="P26" i="1"/>
  <c r="L26" i="1"/>
  <c r="K26" i="1"/>
  <c r="R26" i="1"/>
  <c r="O26" i="1"/>
  <c r="M26" i="1"/>
  <c r="N26" i="1"/>
  <c r="U26" i="1"/>
  <c r="J26" i="1"/>
  <c r="W26" i="1"/>
  <c r="Z26" i="1"/>
  <c r="V26" i="1"/>
  <c r="S26" i="1"/>
  <c r="T26" i="1"/>
  <c r="A41" i="1"/>
  <c r="I27" i="1"/>
  <c r="X27" i="1"/>
  <c r="W27" i="1"/>
  <c r="Y27" i="1"/>
  <c r="K27" i="1"/>
  <c r="P27" i="1"/>
  <c r="L27" i="1"/>
  <c r="U27" i="1"/>
  <c r="Z27" i="1"/>
  <c r="M27" i="1"/>
  <c r="J27" i="1"/>
  <c r="N27" i="1"/>
  <c r="R27" i="1"/>
  <c r="Q27" i="1"/>
  <c r="S27" i="1"/>
  <c r="V27" i="1"/>
  <c r="O27" i="1"/>
  <c r="T27" i="1"/>
  <c r="X17" i="1"/>
  <c r="X18" i="1"/>
  <c r="Z4" i="1"/>
  <c r="Y6" i="1"/>
  <c r="Y10" i="1"/>
  <c r="Y14" i="1"/>
  <c r="Y11" i="1"/>
  <c r="Y16" i="1"/>
  <c r="Y7" i="1"/>
  <c r="Y12" i="1"/>
  <c r="Y8" i="1"/>
  <c r="Y13" i="1"/>
  <c r="Y9" i="1"/>
  <c r="Y15" i="1"/>
  <c r="Z9" i="1" l="1"/>
  <c r="Z13" i="1"/>
  <c r="Z10" i="1"/>
  <c r="Z15" i="1"/>
  <c r="Z6" i="1"/>
  <c r="Z11" i="1"/>
  <c r="Z16" i="1"/>
  <c r="Z7" i="1"/>
  <c r="Z12" i="1"/>
  <c r="Z8" i="1"/>
  <c r="Z14" i="1"/>
  <c r="B42" i="1"/>
  <c r="C42" i="1" s="1"/>
  <c r="Y17" i="1"/>
  <c r="Y18" i="1"/>
  <c r="B41" i="1"/>
  <c r="C41" i="1" s="1"/>
  <c r="Z17" i="1" l="1"/>
  <c r="Z18" i="1"/>
  <c r="AA18" i="1" s="1"/>
  <c r="I24" i="1"/>
  <c r="K24" i="1"/>
  <c r="Y24" i="1"/>
  <c r="X24" i="1"/>
  <c r="M24" i="1"/>
  <c r="Q24" i="1"/>
  <c r="N24" i="1"/>
  <c r="O24" i="1"/>
  <c r="W24" i="1"/>
  <c r="L24" i="1"/>
  <c r="R24" i="1"/>
  <c r="T24" i="1"/>
  <c r="S24" i="1"/>
  <c r="U24" i="1"/>
  <c r="J24" i="1"/>
  <c r="P24" i="1"/>
  <c r="Z24" i="1"/>
  <c r="V24" i="1"/>
  <c r="R25" i="1"/>
  <c r="I25" i="1"/>
  <c r="M25" i="1"/>
  <c r="P25" i="1"/>
  <c r="Y25" i="1"/>
  <c r="Q25" i="1"/>
  <c r="W25" i="1"/>
  <c r="S25" i="1"/>
  <c r="J25" i="1"/>
  <c r="V25" i="1"/>
  <c r="Z25" i="1"/>
  <c r="U25" i="1"/>
  <c r="X25" i="1"/>
  <c r="O25" i="1"/>
  <c r="N25" i="1"/>
  <c r="K25" i="1"/>
  <c r="L25" i="1"/>
  <c r="T25" i="1"/>
  <c r="S35" i="1" l="1"/>
  <c r="S36" i="1"/>
  <c r="I35" i="1"/>
  <c r="I36" i="1"/>
  <c r="P36" i="1"/>
  <c r="P35" i="1"/>
  <c r="T35" i="1"/>
  <c r="T36" i="1"/>
  <c r="O36" i="1"/>
  <c r="O35" i="1"/>
  <c r="X35" i="1"/>
  <c r="X36" i="1"/>
  <c r="Z35" i="1"/>
  <c r="Z36" i="1"/>
  <c r="W36" i="1"/>
  <c r="W35" i="1"/>
  <c r="M36" i="1"/>
  <c r="M35" i="1"/>
  <c r="AC6" i="1"/>
  <c r="AE6" i="1" s="1"/>
  <c r="AC5" i="1"/>
  <c r="AE5" i="1" s="1"/>
  <c r="J36" i="1"/>
  <c r="J35" i="1"/>
  <c r="R35" i="1"/>
  <c r="R36" i="1"/>
  <c r="N35" i="1"/>
  <c r="N36" i="1"/>
  <c r="Y35" i="1"/>
  <c r="Y36" i="1"/>
  <c r="V35" i="1"/>
  <c r="V36" i="1"/>
  <c r="U36" i="1"/>
  <c r="U35" i="1"/>
  <c r="L35" i="1"/>
  <c r="L36" i="1"/>
  <c r="Q36" i="1"/>
  <c r="Q35" i="1"/>
  <c r="K36" i="1"/>
  <c r="K35" i="1"/>
  <c r="AA36" i="1" l="1"/>
  <c r="AC23" i="1"/>
  <c r="AE23" i="1" s="1"/>
  <c r="AC24" i="1"/>
  <c r="AE24" i="1" s="1"/>
</calcChain>
</file>

<file path=xl/sharedStrings.xml><?xml version="1.0" encoding="utf-8"?>
<sst xmlns="http://schemas.openxmlformats.org/spreadsheetml/2006/main" count="90" uniqueCount="34">
  <si>
    <t>DATA_INIZIO</t>
  </si>
  <si>
    <t>Durata=</t>
  </si>
  <si>
    <t>gg</t>
  </si>
  <si>
    <t>Al più presto</t>
  </si>
  <si>
    <t>Attività</t>
  </si>
  <si>
    <t>Predecessori</t>
  </si>
  <si>
    <t>H. R.</t>
  </si>
  <si>
    <t>Costi P. U.</t>
  </si>
  <si>
    <t>Durata</t>
  </si>
  <si>
    <t>Inizio</t>
  </si>
  <si>
    <t>Fine</t>
  </si>
  <si>
    <t>*</t>
  </si>
  <si>
    <t>\</t>
  </si>
  <si>
    <t>A</t>
  </si>
  <si>
    <t>B</t>
  </si>
  <si>
    <t>C</t>
  </si>
  <si>
    <t>D</t>
  </si>
  <si>
    <t>E</t>
  </si>
  <si>
    <t>F</t>
  </si>
  <si>
    <t>G</t>
  </si>
  <si>
    <t>H</t>
  </si>
  <si>
    <t>I</t>
  </si>
  <si>
    <t>L</t>
  </si>
  <si>
    <t>M</t>
  </si>
  <si>
    <t>L,M</t>
  </si>
  <si>
    <t>A,B</t>
  </si>
  <si>
    <t>C,D</t>
  </si>
  <si>
    <t>G,H,I</t>
  </si>
  <si>
    <t>Scorrimento</t>
  </si>
  <si>
    <t>Critiche</t>
  </si>
  <si>
    <t>Al più tardi</t>
  </si>
  <si>
    <t>MAX</t>
  </si>
  <si>
    <t>DATA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</si>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</sst>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d\-mmm;@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0" xfId="0" applyNumberFormat="1"/>
    <xf numFmtId="1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e" xfId="0" builtinId="0"/>
  </cellStyles>
  <dxfs count="24"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329713</xdr:colOff>
      <xdr:row>45</xdr:row>
      <xdr:rowOff>7328</xdr:rowOff>
    </xdr:from>
    <xdr:to>
      <xdr:col>6</xdr:col>
      <xdr:colOff>73270</xdr:colOff>
      <xdr:row>47</xdr:row>
      <xdr:rowOff>65942</xdr:rowOff>
    </xdr:to>
    <xdr:sp macro="" textlink="">
      <xdr:nvSpPr>
        <xdr:cNvPr id="2" name="Ova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73367" y="8579828"/>
          <a:ext cx="498230" cy="4396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/>
            <a:t>*</a:t>
          </a:r>
        </a:p>
      </xdr:txBody>
    </xdr:sp>
    <xdr:clientData/>
  </xdr:twoCellAnchor>
  <xdr:twoCellAnchor>
    <xdr:from>
      <xdr:col>6</xdr:col>
      <xdr:colOff>373673</xdr:colOff>
      <xdr:row>42</xdr:row>
      <xdr:rowOff>7327</xdr:rowOff>
    </xdr:from>
    <xdr:to>
      <xdr:col>7</xdr:col>
      <xdr:colOff>117230</xdr:colOff>
      <xdr:row>44</xdr:row>
      <xdr:rowOff>65941</xdr:rowOff>
    </xdr:to>
    <xdr:sp macro="" textlink="">
      <xdr:nvSpPr>
        <xdr:cNvPr id="3" name="Ova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72000" y="8008327"/>
          <a:ext cx="498230" cy="4396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1800"/>
            <a:t>A</a:t>
          </a:r>
        </a:p>
      </xdr:txBody>
    </xdr:sp>
    <xdr:clientData/>
  </xdr:twoCellAnchor>
  <xdr:twoCellAnchor>
    <xdr:from>
      <xdr:col>13</xdr:col>
      <xdr:colOff>118695</xdr:colOff>
      <xdr:row>45</xdr:row>
      <xdr:rowOff>104042</xdr:rowOff>
    </xdr:from>
    <xdr:to>
      <xdr:col>14</xdr:col>
      <xdr:colOff>8791</xdr:colOff>
      <xdr:row>47</xdr:row>
      <xdr:rowOff>162656</xdr:rowOff>
    </xdr:to>
    <xdr:sp macro="" textlink="">
      <xdr:nvSpPr>
        <xdr:cNvPr id="12" name="Ova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720503" y="8676542"/>
          <a:ext cx="498230" cy="4396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/>
            <a:t>*</a:t>
          </a:r>
        </a:p>
      </xdr:txBody>
    </xdr:sp>
    <xdr:clientData/>
  </xdr:twoCellAnchor>
  <xdr:twoCellAnchor>
    <xdr:from>
      <xdr:col>6</xdr:col>
      <xdr:colOff>381000</xdr:colOff>
      <xdr:row>48</xdr:row>
      <xdr:rowOff>36635</xdr:rowOff>
    </xdr:from>
    <xdr:to>
      <xdr:col>7</xdr:col>
      <xdr:colOff>124557</xdr:colOff>
      <xdr:row>50</xdr:row>
      <xdr:rowOff>95249</xdr:rowOff>
    </xdr:to>
    <xdr:sp macro="" textlink="">
      <xdr:nvSpPr>
        <xdr:cNvPr id="15" name="Ova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579327" y="9180635"/>
          <a:ext cx="498230" cy="4396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1800"/>
            <a:t>B</a:t>
          </a:r>
        </a:p>
      </xdr:txBody>
    </xdr:sp>
    <xdr:clientData/>
  </xdr:twoCellAnchor>
  <xdr:twoCellAnchor>
    <xdr:from>
      <xdr:col>8</xdr:col>
      <xdr:colOff>168519</xdr:colOff>
      <xdr:row>41</xdr:row>
      <xdr:rowOff>161192</xdr:rowOff>
    </xdr:from>
    <xdr:to>
      <xdr:col>9</xdr:col>
      <xdr:colOff>58615</xdr:colOff>
      <xdr:row>44</xdr:row>
      <xdr:rowOff>29306</xdr:rowOff>
    </xdr:to>
    <xdr:sp macro="" textlink="">
      <xdr:nvSpPr>
        <xdr:cNvPr id="16" name="Ova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729654" y="7971692"/>
          <a:ext cx="498230" cy="4396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1800"/>
            <a:t>D</a:t>
          </a:r>
        </a:p>
      </xdr:txBody>
    </xdr:sp>
    <xdr:clientData/>
  </xdr:twoCellAnchor>
  <xdr:twoCellAnchor>
    <xdr:from>
      <xdr:col>8</xdr:col>
      <xdr:colOff>175846</xdr:colOff>
      <xdr:row>48</xdr:row>
      <xdr:rowOff>73270</xdr:rowOff>
    </xdr:from>
    <xdr:to>
      <xdr:col>9</xdr:col>
      <xdr:colOff>65942</xdr:colOff>
      <xdr:row>50</xdr:row>
      <xdr:rowOff>131884</xdr:rowOff>
    </xdr:to>
    <xdr:sp macro="" textlink="">
      <xdr:nvSpPr>
        <xdr:cNvPr id="17" name="Ova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736981" y="9217270"/>
          <a:ext cx="498230" cy="4396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1800"/>
            <a:t>C</a:t>
          </a:r>
        </a:p>
      </xdr:txBody>
    </xdr:sp>
    <xdr:clientData/>
  </xdr:twoCellAnchor>
  <xdr:twoCellAnchor>
    <xdr:from>
      <xdr:col>8</xdr:col>
      <xdr:colOff>190500</xdr:colOff>
      <xdr:row>53</xdr:row>
      <xdr:rowOff>124558</xdr:rowOff>
    </xdr:from>
    <xdr:to>
      <xdr:col>9</xdr:col>
      <xdr:colOff>80596</xdr:colOff>
      <xdr:row>55</xdr:row>
      <xdr:rowOff>183172</xdr:rowOff>
    </xdr:to>
    <xdr:sp macro="" textlink="">
      <xdr:nvSpPr>
        <xdr:cNvPr id="18" name="Ova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751635" y="10221058"/>
          <a:ext cx="498230" cy="4396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1800"/>
            <a:t>E</a:t>
          </a:r>
        </a:p>
      </xdr:txBody>
    </xdr:sp>
    <xdr:clientData/>
  </xdr:twoCellAnchor>
  <xdr:twoCellAnchor>
    <xdr:from>
      <xdr:col>10</xdr:col>
      <xdr:colOff>14654</xdr:colOff>
      <xdr:row>41</xdr:row>
      <xdr:rowOff>183173</xdr:rowOff>
    </xdr:from>
    <xdr:to>
      <xdr:col>10</xdr:col>
      <xdr:colOff>512884</xdr:colOff>
      <xdr:row>44</xdr:row>
      <xdr:rowOff>51287</xdr:rowOff>
    </xdr:to>
    <xdr:sp macro="" textlink="">
      <xdr:nvSpPr>
        <xdr:cNvPr id="19" name="Ova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792058" y="7993673"/>
          <a:ext cx="498230" cy="4396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1800"/>
            <a:t>F</a:t>
          </a:r>
        </a:p>
      </xdr:txBody>
    </xdr:sp>
    <xdr:clientData/>
  </xdr:twoCellAnchor>
  <xdr:twoCellAnchor>
    <xdr:from>
      <xdr:col>10</xdr:col>
      <xdr:colOff>0</xdr:colOff>
      <xdr:row>48</xdr:row>
      <xdr:rowOff>131885</xdr:rowOff>
    </xdr:from>
    <xdr:to>
      <xdr:col>10</xdr:col>
      <xdr:colOff>498230</xdr:colOff>
      <xdr:row>50</xdr:row>
      <xdr:rowOff>190499</xdr:rowOff>
    </xdr:to>
    <xdr:sp macro="" textlink="">
      <xdr:nvSpPr>
        <xdr:cNvPr id="20" name="Ova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777404" y="9275885"/>
          <a:ext cx="498230" cy="4396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1800"/>
            <a:t>G</a:t>
          </a:r>
        </a:p>
      </xdr:txBody>
    </xdr:sp>
    <xdr:clientData/>
  </xdr:twoCellAnchor>
  <xdr:twoCellAnchor>
    <xdr:from>
      <xdr:col>10</xdr:col>
      <xdr:colOff>29308</xdr:colOff>
      <xdr:row>53</xdr:row>
      <xdr:rowOff>175846</xdr:rowOff>
    </xdr:from>
    <xdr:to>
      <xdr:col>10</xdr:col>
      <xdr:colOff>527538</xdr:colOff>
      <xdr:row>56</xdr:row>
      <xdr:rowOff>43960</xdr:rowOff>
    </xdr:to>
    <xdr:sp macro="" textlink="">
      <xdr:nvSpPr>
        <xdr:cNvPr id="21" name="Ova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806712" y="10272346"/>
          <a:ext cx="498230" cy="4396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1800"/>
            <a:t>H</a:t>
          </a:r>
        </a:p>
      </xdr:txBody>
    </xdr:sp>
    <xdr:clientData/>
  </xdr:twoCellAnchor>
  <xdr:twoCellAnchor>
    <xdr:from>
      <xdr:col>10</xdr:col>
      <xdr:colOff>0</xdr:colOff>
      <xdr:row>59</xdr:row>
      <xdr:rowOff>0</xdr:rowOff>
    </xdr:from>
    <xdr:to>
      <xdr:col>10</xdr:col>
      <xdr:colOff>498230</xdr:colOff>
      <xdr:row>61</xdr:row>
      <xdr:rowOff>58614</xdr:rowOff>
    </xdr:to>
    <xdr:sp macro="" textlink="">
      <xdr:nvSpPr>
        <xdr:cNvPr id="22" name="Ova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6777404" y="11239500"/>
          <a:ext cx="498230" cy="4396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1800"/>
            <a:t>I</a:t>
          </a:r>
        </a:p>
      </xdr:txBody>
    </xdr:sp>
    <xdr:clientData/>
  </xdr:twoCellAnchor>
  <xdr:twoCellAnchor>
    <xdr:from>
      <xdr:col>11</xdr:col>
      <xdr:colOff>556847</xdr:colOff>
      <xdr:row>42</xdr:row>
      <xdr:rowOff>21981</xdr:rowOff>
    </xdr:from>
    <xdr:to>
      <xdr:col>12</xdr:col>
      <xdr:colOff>454270</xdr:colOff>
      <xdr:row>44</xdr:row>
      <xdr:rowOff>87922</xdr:rowOff>
    </xdr:to>
    <xdr:sp macro="" textlink="">
      <xdr:nvSpPr>
        <xdr:cNvPr id="23" name="Ova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7942385" y="8022981"/>
          <a:ext cx="505558" cy="44694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1800"/>
            <a:t>L</a:t>
          </a:r>
        </a:p>
      </xdr:txBody>
    </xdr:sp>
    <xdr:clientData/>
  </xdr:twoCellAnchor>
  <xdr:twoCellAnchor>
    <xdr:from>
      <xdr:col>11</xdr:col>
      <xdr:colOff>549520</xdr:colOff>
      <xdr:row>50</xdr:row>
      <xdr:rowOff>153866</xdr:rowOff>
    </xdr:from>
    <xdr:to>
      <xdr:col>12</xdr:col>
      <xdr:colOff>439615</xdr:colOff>
      <xdr:row>53</xdr:row>
      <xdr:rowOff>21980</xdr:rowOff>
    </xdr:to>
    <xdr:sp macro="" textlink="">
      <xdr:nvSpPr>
        <xdr:cNvPr id="24" name="Ova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7935058" y="9678866"/>
          <a:ext cx="498230" cy="4396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1800"/>
            <a:t>M</a:t>
          </a:r>
        </a:p>
      </xdr:txBody>
    </xdr:sp>
    <xdr:clientData/>
  </xdr:twoCellAnchor>
  <xdr:twoCellAnchor>
    <xdr:from>
      <xdr:col>6</xdr:col>
      <xdr:colOff>306</xdr:colOff>
      <xdr:row>43</xdr:row>
      <xdr:rowOff>36634</xdr:rowOff>
    </xdr:from>
    <xdr:to>
      <xdr:col>6</xdr:col>
      <xdr:colOff>373673</xdr:colOff>
      <xdr:row>45</xdr:row>
      <xdr:rowOff>71708</xdr:rowOff>
    </xdr:to>
    <xdr:cxnSp macro="">
      <xdr:nvCxnSpPr>
        <xdr:cNvPr id="26" name="Connettore 2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stCxn id="2" idx="7"/>
          <a:endCxn id="3" idx="2"/>
        </xdr:cNvCxnSpPr>
      </xdr:nvCxnSpPr>
      <xdr:spPr>
        <a:xfrm flipV="1">
          <a:off x="4198633" y="8228134"/>
          <a:ext cx="373367" cy="4160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306</xdr:colOff>
      <xdr:row>47</xdr:row>
      <xdr:rowOff>1562</xdr:rowOff>
    </xdr:from>
    <xdr:to>
      <xdr:col>6</xdr:col>
      <xdr:colOff>453964</xdr:colOff>
      <xdr:row>48</xdr:row>
      <xdr:rowOff>101015</xdr:rowOff>
    </xdr:to>
    <xdr:cxnSp macro="">
      <xdr:nvCxnSpPr>
        <xdr:cNvPr id="27" name="Connettore 2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stCxn id="2" idx="5"/>
          <a:endCxn id="15" idx="1"/>
        </xdr:cNvCxnSpPr>
      </xdr:nvCxnSpPr>
      <xdr:spPr>
        <a:xfrm>
          <a:off x="4198633" y="8955062"/>
          <a:ext cx="453658" cy="2899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117230</xdr:colOff>
      <xdr:row>42</xdr:row>
      <xdr:rowOff>190499</xdr:rowOff>
    </xdr:from>
    <xdr:to>
      <xdr:col>8</xdr:col>
      <xdr:colOff>168519</xdr:colOff>
      <xdr:row>43</xdr:row>
      <xdr:rowOff>36634</xdr:rowOff>
    </xdr:to>
    <xdr:cxnSp macro="">
      <xdr:nvCxnSpPr>
        <xdr:cNvPr id="30" name="Connettore 2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>
          <a:stCxn id="3" idx="6"/>
          <a:endCxn id="16" idx="2"/>
        </xdr:cNvCxnSpPr>
      </xdr:nvCxnSpPr>
      <xdr:spPr>
        <a:xfrm flipV="1">
          <a:off x="5070230" y="8191499"/>
          <a:ext cx="659424" cy="366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51593</xdr:colOff>
      <xdr:row>42</xdr:row>
      <xdr:rowOff>190499</xdr:rowOff>
    </xdr:from>
    <xdr:to>
      <xdr:col>8</xdr:col>
      <xdr:colOff>168519</xdr:colOff>
      <xdr:row>48</xdr:row>
      <xdr:rowOff>101015</xdr:rowOff>
    </xdr:to>
    <xdr:cxnSp macro="">
      <xdr:nvCxnSpPr>
        <xdr:cNvPr id="33" name="Connettore 2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stCxn id="15" idx="7"/>
          <a:endCxn id="16" idx="2"/>
        </xdr:cNvCxnSpPr>
      </xdr:nvCxnSpPr>
      <xdr:spPr>
        <a:xfrm flipV="1">
          <a:off x="5004593" y="8191499"/>
          <a:ext cx="725061" cy="10535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124557</xdr:colOff>
      <xdr:row>49</xdr:row>
      <xdr:rowOff>65942</xdr:rowOff>
    </xdr:from>
    <xdr:to>
      <xdr:col>8</xdr:col>
      <xdr:colOff>175846</xdr:colOff>
      <xdr:row>49</xdr:row>
      <xdr:rowOff>102577</xdr:rowOff>
    </xdr:to>
    <xdr:cxnSp macro="">
      <xdr:nvCxnSpPr>
        <xdr:cNvPr id="36" name="Connettore 2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>
          <a:stCxn id="15" idx="6"/>
          <a:endCxn id="17" idx="2"/>
        </xdr:cNvCxnSpPr>
      </xdr:nvCxnSpPr>
      <xdr:spPr>
        <a:xfrm>
          <a:off x="5077557" y="9400442"/>
          <a:ext cx="659424" cy="366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51593</xdr:colOff>
      <xdr:row>50</xdr:row>
      <xdr:rowOff>30869</xdr:rowOff>
    </xdr:from>
    <xdr:to>
      <xdr:col>8</xdr:col>
      <xdr:colOff>263464</xdr:colOff>
      <xdr:row>53</xdr:row>
      <xdr:rowOff>188938</xdr:rowOff>
    </xdr:to>
    <xdr:cxnSp macro="">
      <xdr:nvCxnSpPr>
        <xdr:cNvPr id="39" name="Connettore 2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stCxn id="15" idx="5"/>
          <a:endCxn id="18" idx="1"/>
        </xdr:cNvCxnSpPr>
      </xdr:nvCxnSpPr>
      <xdr:spPr>
        <a:xfrm>
          <a:off x="5004593" y="9555869"/>
          <a:ext cx="820006" cy="7295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58615</xdr:colOff>
      <xdr:row>42</xdr:row>
      <xdr:rowOff>190499</xdr:rowOff>
    </xdr:from>
    <xdr:to>
      <xdr:col>10</xdr:col>
      <xdr:colOff>14654</xdr:colOff>
      <xdr:row>43</xdr:row>
      <xdr:rowOff>21980</xdr:rowOff>
    </xdr:to>
    <xdr:cxnSp macro="">
      <xdr:nvCxnSpPr>
        <xdr:cNvPr id="42" name="Connettore 2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>
          <a:stCxn id="16" idx="6"/>
          <a:endCxn id="19" idx="2"/>
        </xdr:cNvCxnSpPr>
      </xdr:nvCxnSpPr>
      <xdr:spPr>
        <a:xfrm>
          <a:off x="6227884" y="8191499"/>
          <a:ext cx="564174" cy="219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593785</xdr:colOff>
      <xdr:row>43</xdr:row>
      <xdr:rowOff>155426</xdr:rowOff>
    </xdr:from>
    <xdr:to>
      <xdr:col>10</xdr:col>
      <xdr:colOff>72964</xdr:colOff>
      <xdr:row>49</xdr:row>
      <xdr:rowOff>5765</xdr:rowOff>
    </xdr:to>
    <xdr:cxnSp macro="">
      <xdr:nvCxnSpPr>
        <xdr:cNvPr id="45" name="Connettore 2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stCxn id="16" idx="5"/>
          <a:endCxn id="20" idx="1"/>
        </xdr:cNvCxnSpPr>
      </xdr:nvCxnSpPr>
      <xdr:spPr>
        <a:xfrm>
          <a:off x="6154920" y="8346926"/>
          <a:ext cx="695448" cy="9933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65942</xdr:colOff>
      <xdr:row>49</xdr:row>
      <xdr:rowOff>102577</xdr:rowOff>
    </xdr:from>
    <xdr:to>
      <xdr:col>10</xdr:col>
      <xdr:colOff>0</xdr:colOff>
      <xdr:row>49</xdr:row>
      <xdr:rowOff>161192</xdr:rowOff>
    </xdr:to>
    <xdr:cxnSp macro="">
      <xdr:nvCxnSpPr>
        <xdr:cNvPr id="48" name="Connettore 2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>
          <a:stCxn id="17" idx="6"/>
          <a:endCxn id="20" idx="2"/>
        </xdr:cNvCxnSpPr>
      </xdr:nvCxnSpPr>
      <xdr:spPr>
        <a:xfrm>
          <a:off x="6235211" y="9437077"/>
          <a:ext cx="542193" cy="586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601112</xdr:colOff>
      <xdr:row>50</xdr:row>
      <xdr:rowOff>67504</xdr:rowOff>
    </xdr:from>
    <xdr:to>
      <xdr:col>10</xdr:col>
      <xdr:colOff>102272</xdr:colOff>
      <xdr:row>54</xdr:row>
      <xdr:rowOff>49726</xdr:rowOff>
    </xdr:to>
    <xdr:cxnSp macro="">
      <xdr:nvCxnSpPr>
        <xdr:cNvPr id="51" name="Connettore 2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stCxn id="17" idx="5"/>
          <a:endCxn id="21" idx="1"/>
        </xdr:cNvCxnSpPr>
      </xdr:nvCxnSpPr>
      <xdr:spPr>
        <a:xfrm>
          <a:off x="6162247" y="9592504"/>
          <a:ext cx="717429" cy="7442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7632</xdr:colOff>
      <xdr:row>55</xdr:row>
      <xdr:rowOff>118792</xdr:rowOff>
    </xdr:from>
    <xdr:to>
      <xdr:col>10</xdr:col>
      <xdr:colOff>72964</xdr:colOff>
      <xdr:row>59</xdr:row>
      <xdr:rowOff>64380</xdr:rowOff>
    </xdr:to>
    <xdr:cxnSp macro="">
      <xdr:nvCxnSpPr>
        <xdr:cNvPr id="55" name="Connettore 2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>
          <a:stCxn id="18" idx="5"/>
          <a:endCxn id="22" idx="1"/>
        </xdr:cNvCxnSpPr>
      </xdr:nvCxnSpPr>
      <xdr:spPr>
        <a:xfrm>
          <a:off x="6176901" y="10596292"/>
          <a:ext cx="673467" cy="707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425266</xdr:colOff>
      <xdr:row>53</xdr:row>
      <xdr:rowOff>21980</xdr:rowOff>
    </xdr:from>
    <xdr:to>
      <xdr:col>12</xdr:col>
      <xdr:colOff>190500</xdr:colOff>
      <xdr:row>59</xdr:row>
      <xdr:rowOff>64380</xdr:rowOff>
    </xdr:to>
    <xdr:cxnSp macro="">
      <xdr:nvCxnSpPr>
        <xdr:cNvPr id="58" name="Connettore 2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22" idx="7"/>
          <a:endCxn id="24" idx="4"/>
        </xdr:cNvCxnSpPr>
      </xdr:nvCxnSpPr>
      <xdr:spPr>
        <a:xfrm flipV="1">
          <a:off x="7202670" y="10118480"/>
          <a:ext cx="981503" cy="118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527538</xdr:colOff>
      <xdr:row>52</xdr:row>
      <xdr:rowOff>148100</xdr:rowOff>
    </xdr:from>
    <xdr:to>
      <xdr:col>12</xdr:col>
      <xdr:colOff>14349</xdr:colOff>
      <xdr:row>55</xdr:row>
      <xdr:rowOff>14653</xdr:rowOff>
    </xdr:to>
    <xdr:cxnSp macro="">
      <xdr:nvCxnSpPr>
        <xdr:cNvPr id="61" name="Connettore 2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>
          <a:stCxn id="21" idx="6"/>
          <a:endCxn id="24" idx="3"/>
        </xdr:cNvCxnSpPr>
      </xdr:nvCxnSpPr>
      <xdr:spPr>
        <a:xfrm flipV="1">
          <a:off x="7304942" y="10054100"/>
          <a:ext cx="703080" cy="4380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498230</xdr:colOff>
      <xdr:row>49</xdr:row>
      <xdr:rowOff>161192</xdr:rowOff>
    </xdr:from>
    <xdr:to>
      <xdr:col>12</xdr:col>
      <xdr:colOff>14349</xdr:colOff>
      <xdr:row>51</xdr:row>
      <xdr:rowOff>27746</xdr:rowOff>
    </xdr:to>
    <xdr:cxnSp macro="">
      <xdr:nvCxnSpPr>
        <xdr:cNvPr id="64" name="Connettore 2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20" idx="6"/>
          <a:endCxn id="24" idx="1"/>
        </xdr:cNvCxnSpPr>
      </xdr:nvCxnSpPr>
      <xdr:spPr>
        <a:xfrm>
          <a:off x="7275634" y="9495692"/>
          <a:ext cx="732388" cy="2475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512884</xdr:colOff>
      <xdr:row>43</xdr:row>
      <xdr:rowOff>21980</xdr:rowOff>
    </xdr:from>
    <xdr:to>
      <xdr:col>11</xdr:col>
      <xdr:colOff>556847</xdr:colOff>
      <xdr:row>43</xdr:row>
      <xdr:rowOff>54952</xdr:rowOff>
    </xdr:to>
    <xdr:cxnSp macro="">
      <xdr:nvCxnSpPr>
        <xdr:cNvPr id="67" name="Connettore 2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>
          <a:stCxn id="19" idx="6"/>
          <a:endCxn id="23" idx="2"/>
        </xdr:cNvCxnSpPr>
      </xdr:nvCxnSpPr>
      <xdr:spPr>
        <a:xfrm>
          <a:off x="7290288" y="8213480"/>
          <a:ext cx="652097" cy="329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454270</xdr:colOff>
      <xdr:row>43</xdr:row>
      <xdr:rowOff>54952</xdr:rowOff>
    </xdr:from>
    <xdr:to>
      <xdr:col>13</xdr:col>
      <xdr:colOff>191659</xdr:colOff>
      <xdr:row>45</xdr:row>
      <xdr:rowOff>168422</xdr:rowOff>
    </xdr:to>
    <xdr:cxnSp macro="">
      <xdr:nvCxnSpPr>
        <xdr:cNvPr id="70" name="Connettore 2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stCxn id="23" idx="6"/>
          <a:endCxn id="12" idx="1"/>
        </xdr:cNvCxnSpPr>
      </xdr:nvCxnSpPr>
      <xdr:spPr>
        <a:xfrm>
          <a:off x="8447943" y="8246452"/>
          <a:ext cx="345524" cy="49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366651</xdr:colOff>
      <xdr:row>47</xdr:row>
      <xdr:rowOff>98276</xdr:rowOff>
    </xdr:from>
    <xdr:to>
      <xdr:col>13</xdr:col>
      <xdr:colOff>191659</xdr:colOff>
      <xdr:row>51</xdr:row>
      <xdr:rowOff>27746</xdr:rowOff>
    </xdr:to>
    <xdr:cxnSp macro="">
      <xdr:nvCxnSpPr>
        <xdr:cNvPr id="73" name="Connettore 2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stCxn id="24" idx="7"/>
          <a:endCxn id="12" idx="3"/>
        </xdr:cNvCxnSpPr>
      </xdr:nvCxnSpPr>
      <xdr:spPr>
        <a:xfrm flipV="1">
          <a:off x="8360324" y="9051776"/>
          <a:ext cx="433143" cy="691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337038</xdr:colOff>
      <xdr:row>43</xdr:row>
      <xdr:rowOff>131885</xdr:rowOff>
    </xdr:from>
    <xdr:ext cx="389017" cy="264560"/>
    <xdr:sp macro="" textlink="">
      <xdr:nvSpPr>
        <xdr:cNvPr id="76" name="CasellaDiTesto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3780692" y="8323385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0gg</a:t>
          </a:r>
        </a:p>
      </xdr:txBody>
    </xdr:sp>
    <xdr:clientData/>
  </xdr:oneCellAnchor>
  <xdr:oneCellAnchor>
    <xdr:from>
      <xdr:col>6</xdr:col>
      <xdr:colOff>388326</xdr:colOff>
      <xdr:row>40</xdr:row>
      <xdr:rowOff>124558</xdr:rowOff>
    </xdr:from>
    <xdr:ext cx="389017" cy="264560"/>
    <xdr:sp macro="" textlink="">
      <xdr:nvSpPr>
        <xdr:cNvPr id="78" name="CasellaDiTesto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4586653" y="7744558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2gg</a:t>
          </a:r>
        </a:p>
      </xdr:txBody>
    </xdr:sp>
    <xdr:clientData/>
  </xdr:oneCellAnchor>
  <xdr:oneCellAnchor>
    <xdr:from>
      <xdr:col>6</xdr:col>
      <xdr:colOff>468923</xdr:colOff>
      <xdr:row>46</xdr:row>
      <xdr:rowOff>102577</xdr:rowOff>
    </xdr:from>
    <xdr:ext cx="389017" cy="264560"/>
    <xdr:sp macro="" textlink="">
      <xdr:nvSpPr>
        <xdr:cNvPr id="79" name="CasellaDiTesto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4667250" y="8865577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3gg</a:t>
          </a:r>
        </a:p>
      </xdr:txBody>
    </xdr:sp>
    <xdr:clientData/>
  </xdr:oneCellAnchor>
  <xdr:oneCellAnchor>
    <xdr:from>
      <xdr:col>8</xdr:col>
      <xdr:colOff>205154</xdr:colOff>
      <xdr:row>40</xdr:row>
      <xdr:rowOff>73270</xdr:rowOff>
    </xdr:from>
    <xdr:ext cx="389017" cy="264560"/>
    <xdr:sp macro="" textlink="">
      <xdr:nvSpPr>
        <xdr:cNvPr id="80" name="CasellaDiTesto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5766289" y="7693270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5gg</a:t>
          </a:r>
        </a:p>
      </xdr:txBody>
    </xdr:sp>
    <xdr:clientData/>
  </xdr:oneCellAnchor>
  <xdr:oneCellAnchor>
    <xdr:from>
      <xdr:col>8</xdr:col>
      <xdr:colOff>227134</xdr:colOff>
      <xdr:row>46</xdr:row>
      <xdr:rowOff>183174</xdr:rowOff>
    </xdr:from>
    <xdr:ext cx="389017" cy="264560"/>
    <xdr:sp macro="" textlink="">
      <xdr:nvSpPr>
        <xdr:cNvPr id="81" name="CasellaDiTesto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5788269" y="8946174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2gg</a:t>
          </a:r>
        </a:p>
      </xdr:txBody>
    </xdr:sp>
    <xdr:clientData/>
  </xdr:oneCellAnchor>
  <xdr:oneCellAnchor>
    <xdr:from>
      <xdr:col>8</xdr:col>
      <xdr:colOff>293077</xdr:colOff>
      <xdr:row>52</xdr:row>
      <xdr:rowOff>65943</xdr:rowOff>
    </xdr:from>
    <xdr:ext cx="389017" cy="264560"/>
    <xdr:sp macro="" textlink="">
      <xdr:nvSpPr>
        <xdr:cNvPr id="82" name="CasellaDiTesto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5854212" y="9971943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4gg</a:t>
          </a:r>
        </a:p>
      </xdr:txBody>
    </xdr:sp>
    <xdr:clientData/>
  </xdr:oneCellAnchor>
  <xdr:oneCellAnchor>
    <xdr:from>
      <xdr:col>10</xdr:col>
      <xdr:colOff>51288</xdr:colOff>
      <xdr:row>57</xdr:row>
      <xdr:rowOff>95250</xdr:rowOff>
    </xdr:from>
    <xdr:ext cx="389017" cy="264560"/>
    <xdr:sp macro="" textlink="">
      <xdr:nvSpPr>
        <xdr:cNvPr id="83" name="CasellaDiTesto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828692" y="10953750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5gg</a:t>
          </a:r>
        </a:p>
      </xdr:txBody>
    </xdr:sp>
    <xdr:clientData/>
  </xdr:oneCellAnchor>
  <xdr:oneCellAnchor>
    <xdr:from>
      <xdr:col>10</xdr:col>
      <xdr:colOff>124557</xdr:colOff>
      <xdr:row>52</xdr:row>
      <xdr:rowOff>124558</xdr:rowOff>
    </xdr:from>
    <xdr:ext cx="389017" cy="264560"/>
    <xdr:sp macro="" textlink="">
      <xdr:nvSpPr>
        <xdr:cNvPr id="84" name="CasellaDiTest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901961" y="10030558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2gg</a:t>
          </a:r>
        </a:p>
      </xdr:txBody>
    </xdr:sp>
    <xdr:clientData/>
  </xdr:oneCellAnchor>
  <xdr:oneCellAnchor>
    <xdr:from>
      <xdr:col>10</xdr:col>
      <xdr:colOff>139211</xdr:colOff>
      <xdr:row>47</xdr:row>
      <xdr:rowOff>43962</xdr:rowOff>
    </xdr:from>
    <xdr:ext cx="389017" cy="264560"/>
    <xdr:sp macro="" textlink="">
      <xdr:nvSpPr>
        <xdr:cNvPr id="85" name="CasellaDiTesto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916615" y="8997462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5gg</a:t>
          </a:r>
        </a:p>
      </xdr:txBody>
    </xdr:sp>
    <xdr:clientData/>
  </xdr:oneCellAnchor>
  <xdr:oneCellAnchor>
    <xdr:from>
      <xdr:col>10</xdr:col>
      <xdr:colOff>95250</xdr:colOff>
      <xdr:row>40</xdr:row>
      <xdr:rowOff>87923</xdr:rowOff>
    </xdr:from>
    <xdr:ext cx="389017" cy="264560"/>
    <xdr:sp macro="" textlink="">
      <xdr:nvSpPr>
        <xdr:cNvPr id="86" name="CasellaDiTesto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872654" y="7707923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4gg</a:t>
          </a:r>
        </a:p>
      </xdr:txBody>
    </xdr:sp>
    <xdr:clientData/>
  </xdr:oneCellAnchor>
  <xdr:oneCellAnchor>
    <xdr:from>
      <xdr:col>12</xdr:col>
      <xdr:colOff>51289</xdr:colOff>
      <xdr:row>40</xdr:row>
      <xdr:rowOff>117231</xdr:rowOff>
    </xdr:from>
    <xdr:ext cx="389017" cy="264560"/>
    <xdr:sp macro="" textlink="">
      <xdr:nvSpPr>
        <xdr:cNvPr id="87" name="CasellaDiTest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8044962" y="7737231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6gg</a:t>
          </a:r>
        </a:p>
      </xdr:txBody>
    </xdr:sp>
    <xdr:clientData/>
  </xdr:oneCellAnchor>
  <xdr:oneCellAnchor>
    <xdr:from>
      <xdr:col>11</xdr:col>
      <xdr:colOff>578827</xdr:colOff>
      <xdr:row>49</xdr:row>
      <xdr:rowOff>58616</xdr:rowOff>
    </xdr:from>
    <xdr:ext cx="389017" cy="264560"/>
    <xdr:sp macro="" textlink="">
      <xdr:nvSpPr>
        <xdr:cNvPr id="88" name="CasellaDiTesto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7964365" y="9393116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2gg</a:t>
          </a:r>
        </a:p>
      </xdr:txBody>
    </xdr:sp>
    <xdr:clientData/>
  </xdr:oneCellAnchor>
  <xdr:oneCellAnchor>
    <xdr:from>
      <xdr:col>13</xdr:col>
      <xdr:colOff>205153</xdr:colOff>
      <xdr:row>44</xdr:row>
      <xdr:rowOff>14654</xdr:rowOff>
    </xdr:from>
    <xdr:ext cx="389017" cy="264560"/>
    <xdr:sp macro="" textlink="">
      <xdr:nvSpPr>
        <xdr:cNvPr id="89" name="CasellaDiTesto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8806961" y="8396654"/>
          <a:ext cx="389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/>
            <a:t>0gg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tabSelected="1" zoomScale="85" zoomScaleNormal="85" workbookViewId="0">
      <selection activeCell="AH25" sqref="AH25"/>
    </sheetView>
  </sheetViews>
  <sheetFormatPr defaultRowHeight="14.4" x14ac:dyDescent="0.3"/>
  <cols>
    <col min="1" max="1" width="12.44140625" bestFit="1" customWidth="1"/>
    <col min="2" max="2" width="11.88671875" customWidth="1"/>
    <col min="6" max="7" width="11.33203125" bestFit="1" customWidth="1"/>
    <col min="31" max="31" width="11.33203125" bestFit="1" customWidth="1"/>
  </cols>
  <sheetData>
    <row r="1" spans="1:31" x14ac:dyDescent="0.3">
      <c r="A1" t="s">
        <v>0</v>
      </c>
      <c r="B1" s="9">
        <v>45444</v>
      </c>
    </row>
    <row r="2" spans="1:31" x14ac:dyDescent="0.3">
      <c r="A2" t="s">
        <v>1</v>
      </c>
      <c r="B2" s="11">
        <f>G17-F5</f>
        <v>17</v>
      </c>
      <c r="C2" t="s">
        <v>2</v>
      </c>
    </row>
    <row r="3" spans="1:31" x14ac:dyDescent="0.3">
      <c r="F3" s="21" t="s">
        <v>3</v>
      </c>
      <c r="G3" s="21"/>
      <c r="I3" s="22" t="s">
        <v>3</v>
      </c>
      <c r="J3" s="23"/>
    </row>
    <row r="4" spans="1:31" x14ac:dyDescent="0.3">
      <c r="A4" s="2" t="s">
        <v>4</v>
      </c>
      <c r="B4" s="1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I4" s="12">
        <f>$B$1</f>
        <v>45444</v>
      </c>
      <c r="J4" s="12">
        <f>I4+1</f>
        <v>45445</v>
      </c>
      <c r="K4" s="12">
        <f t="shared" ref="K4:Z4" si="0">J4+1</f>
        <v>45446</v>
      </c>
      <c r="L4" s="12">
        <f t="shared" si="0"/>
        <v>45447</v>
      </c>
      <c r="M4" s="12">
        <f t="shared" si="0"/>
        <v>45448</v>
      </c>
      <c r="N4" s="12">
        <f t="shared" si="0"/>
        <v>45449</v>
      </c>
      <c r="O4" s="12">
        <f t="shared" si="0"/>
        <v>45450</v>
      </c>
      <c r="P4" s="12">
        <f t="shared" si="0"/>
        <v>45451</v>
      </c>
      <c r="Q4" s="12">
        <f t="shared" si="0"/>
        <v>45452</v>
      </c>
      <c r="R4" s="12">
        <f t="shared" si="0"/>
        <v>45453</v>
      </c>
      <c r="S4" s="12">
        <f t="shared" si="0"/>
        <v>45454</v>
      </c>
      <c r="T4" s="12">
        <f t="shared" si="0"/>
        <v>45455</v>
      </c>
      <c r="U4" s="12">
        <f t="shared" si="0"/>
        <v>45456</v>
      </c>
      <c r="V4" s="12">
        <f t="shared" si="0"/>
        <v>45457</v>
      </c>
      <c r="W4" s="12">
        <f t="shared" si="0"/>
        <v>45458</v>
      </c>
      <c r="X4" s="12">
        <f t="shared" si="0"/>
        <v>45459</v>
      </c>
      <c r="Y4" s="12">
        <f t="shared" si="0"/>
        <v>45460</v>
      </c>
      <c r="Z4" s="12">
        <f t="shared" si="0"/>
        <v>45461</v>
      </c>
    </row>
    <row r="5" spans="1:31" x14ac:dyDescent="0.3">
      <c r="A5" s="3" t="s">
        <v>11</v>
      </c>
      <c r="B5" s="3" t="s">
        <v>12</v>
      </c>
      <c r="C5" s="3">
        <v>0</v>
      </c>
      <c r="D5" s="3">
        <v>0</v>
      </c>
      <c r="E5" s="3">
        <v>0</v>
      </c>
      <c r="F5" s="4">
        <f>B1</f>
        <v>45444</v>
      </c>
      <c r="G5" s="4">
        <f>B1</f>
        <v>45444</v>
      </c>
      <c r="I5" s="13"/>
      <c r="J5" s="13"/>
      <c r="K5" s="13"/>
      <c r="L5" s="13"/>
      <c r="M5" s="13"/>
      <c r="N5" s="1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B5" s="14" t="s">
        <v>31</v>
      </c>
      <c r="AC5" s="2">
        <f>MAX(I17:Z17)</f>
        <v>18</v>
      </c>
      <c r="AD5" s="14" t="s">
        <v>32</v>
      </c>
      <c r="AE5" s="7">
        <f ca="1">OFFSET(I4,0,MATCH(AC5,I17:Z17,0))</f>
        <v>45448</v>
      </c>
    </row>
    <row r="6" spans="1:31" x14ac:dyDescent="0.3">
      <c r="A6" s="5" t="s">
        <v>13</v>
      </c>
      <c r="B6" s="6" t="s">
        <v>11</v>
      </c>
      <c r="C6" s="2">
        <v>6</v>
      </c>
      <c r="D6" s="2">
        <v>150</v>
      </c>
      <c r="E6" s="5">
        <v>2</v>
      </c>
      <c r="F6" s="7">
        <f>F5</f>
        <v>45444</v>
      </c>
      <c r="G6" s="7">
        <f t="shared" ref="G6:G16" si="1">F6+E6-1</f>
        <v>45445</v>
      </c>
      <c r="I6" s="2">
        <f>IF(AND(I$4&gt;=$F6,I$4&lt;=$G6),$C6,0)</f>
        <v>6</v>
      </c>
      <c r="J6" s="2">
        <f t="shared" ref="J6:Z16" si="2">IF(AND(J$4&gt;=$F6,J$4&lt;=$G6),$C6,0)</f>
        <v>6</v>
      </c>
      <c r="K6" s="2">
        <f t="shared" si="2"/>
        <v>0</v>
      </c>
      <c r="L6" s="2">
        <f t="shared" si="2"/>
        <v>0</v>
      </c>
      <c r="M6" s="2">
        <f t="shared" si="2"/>
        <v>0</v>
      </c>
      <c r="N6" s="2">
        <f t="shared" si="2"/>
        <v>0</v>
      </c>
      <c r="O6" s="2">
        <f t="shared" si="2"/>
        <v>0</v>
      </c>
      <c r="P6" s="2">
        <f t="shared" si="2"/>
        <v>0</v>
      </c>
      <c r="Q6" s="2">
        <f t="shared" si="2"/>
        <v>0</v>
      </c>
      <c r="R6" s="2">
        <f t="shared" si="2"/>
        <v>0</v>
      </c>
      <c r="S6" s="2">
        <f t="shared" si="2"/>
        <v>0</v>
      </c>
      <c r="T6" s="2">
        <f t="shared" si="2"/>
        <v>0</v>
      </c>
      <c r="U6" s="2">
        <f t="shared" si="2"/>
        <v>0</v>
      </c>
      <c r="V6" s="2">
        <f t="shared" si="2"/>
        <v>0</v>
      </c>
      <c r="W6" s="2">
        <f t="shared" si="2"/>
        <v>0</v>
      </c>
      <c r="X6" s="2">
        <f t="shared" si="2"/>
        <v>0</v>
      </c>
      <c r="Y6" s="2">
        <f t="shared" si="2"/>
        <v>0</v>
      </c>
      <c r="Z6" s="2">
        <f t="shared" si="2"/>
        <v>0</v>
      </c>
      <c r="AB6" s="14" t="s">
        <v>33</v>
      </c>
      <c r="AC6" s="2">
        <f>MIN(I17:Z17)</f>
        <v>6</v>
      </c>
      <c r="AD6" s="14" t="s">
        <v>32</v>
      </c>
      <c r="AE6" s="7">
        <f ca="1">OFFSET(I4,0,MATCH(AC6,I17:Z17,0))</f>
        <v>45447</v>
      </c>
    </row>
    <row r="7" spans="1:31" x14ac:dyDescent="0.3">
      <c r="A7" s="2" t="s">
        <v>14</v>
      </c>
      <c r="B7" s="8" t="s">
        <v>11</v>
      </c>
      <c r="C7" s="2">
        <v>6</v>
      </c>
      <c r="D7" s="2">
        <v>150</v>
      </c>
      <c r="E7" s="2">
        <v>3</v>
      </c>
      <c r="F7" s="7">
        <f>F5</f>
        <v>45444</v>
      </c>
      <c r="G7" s="7">
        <f t="shared" si="1"/>
        <v>45446</v>
      </c>
      <c r="I7" s="2">
        <f t="shared" ref="I7:X16" si="3">IF(AND(I$4&gt;=$F7,I$4&lt;=$G7),$C7,0)</f>
        <v>6</v>
      </c>
      <c r="J7" s="2">
        <f t="shared" si="3"/>
        <v>6</v>
      </c>
      <c r="K7" s="2">
        <f t="shared" si="3"/>
        <v>6</v>
      </c>
      <c r="L7" s="2">
        <f t="shared" si="3"/>
        <v>0</v>
      </c>
      <c r="M7" s="2">
        <f t="shared" si="3"/>
        <v>0</v>
      </c>
      <c r="N7" s="2">
        <f t="shared" si="3"/>
        <v>0</v>
      </c>
      <c r="O7" s="2">
        <f t="shared" si="3"/>
        <v>0</v>
      </c>
      <c r="P7" s="2">
        <f t="shared" si="3"/>
        <v>0</v>
      </c>
      <c r="Q7" s="2">
        <f t="shared" si="3"/>
        <v>0</v>
      </c>
      <c r="R7" s="2">
        <f t="shared" si="3"/>
        <v>0</v>
      </c>
      <c r="S7" s="2">
        <f t="shared" si="3"/>
        <v>0</v>
      </c>
      <c r="T7" s="2">
        <f t="shared" si="3"/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2">
        <f t="shared" si="3"/>
        <v>0</v>
      </c>
      <c r="Y7" s="2">
        <f t="shared" si="2"/>
        <v>0</v>
      </c>
      <c r="Z7" s="2">
        <f t="shared" si="2"/>
        <v>0</v>
      </c>
    </row>
    <row r="8" spans="1:31" x14ac:dyDescent="0.3">
      <c r="A8" s="2" t="s">
        <v>15</v>
      </c>
      <c r="B8" s="8" t="s">
        <v>14</v>
      </c>
      <c r="C8" s="2">
        <v>7</v>
      </c>
      <c r="D8" s="2">
        <v>150</v>
      </c>
      <c r="E8" s="2">
        <v>2</v>
      </c>
      <c r="F8" s="7">
        <f>G7+1</f>
        <v>45447</v>
      </c>
      <c r="G8" s="7">
        <f t="shared" si="1"/>
        <v>45448</v>
      </c>
      <c r="I8" s="2">
        <f t="shared" si="3"/>
        <v>0</v>
      </c>
      <c r="J8" s="2">
        <f t="shared" si="2"/>
        <v>0</v>
      </c>
      <c r="K8" s="2">
        <f t="shared" si="2"/>
        <v>0</v>
      </c>
      <c r="L8" s="2">
        <f t="shared" si="2"/>
        <v>7</v>
      </c>
      <c r="M8" s="2">
        <f t="shared" si="2"/>
        <v>7</v>
      </c>
      <c r="N8" s="2">
        <f t="shared" si="2"/>
        <v>0</v>
      </c>
      <c r="O8" s="2">
        <f t="shared" si="2"/>
        <v>0</v>
      </c>
      <c r="P8" s="2">
        <f t="shared" si="2"/>
        <v>0</v>
      </c>
      <c r="Q8" s="2">
        <f t="shared" si="2"/>
        <v>0</v>
      </c>
      <c r="R8" s="2">
        <f t="shared" si="2"/>
        <v>0</v>
      </c>
      <c r="S8" s="2">
        <f t="shared" si="2"/>
        <v>0</v>
      </c>
      <c r="T8" s="2">
        <f t="shared" si="2"/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2">
        <f t="shared" si="2"/>
        <v>0</v>
      </c>
      <c r="Y8" s="2">
        <f t="shared" si="2"/>
        <v>0</v>
      </c>
      <c r="Z8" s="2">
        <f t="shared" si="2"/>
        <v>0</v>
      </c>
    </row>
    <row r="9" spans="1:31" x14ac:dyDescent="0.3">
      <c r="A9" s="2" t="s">
        <v>16</v>
      </c>
      <c r="B9" s="8" t="s">
        <v>25</v>
      </c>
      <c r="C9" s="2">
        <v>3</v>
      </c>
      <c r="D9" s="2">
        <v>150</v>
      </c>
      <c r="E9" s="2">
        <v>5</v>
      </c>
      <c r="F9" s="7">
        <f>MAX(G6:G7)+1</f>
        <v>45447</v>
      </c>
      <c r="G9" s="7">
        <f t="shared" si="1"/>
        <v>45451</v>
      </c>
      <c r="I9" s="2">
        <f t="shared" si="3"/>
        <v>0</v>
      </c>
      <c r="J9" s="2">
        <f t="shared" si="2"/>
        <v>0</v>
      </c>
      <c r="K9" s="2">
        <f t="shared" si="2"/>
        <v>0</v>
      </c>
      <c r="L9" s="2">
        <f t="shared" si="2"/>
        <v>3</v>
      </c>
      <c r="M9" s="2">
        <f t="shared" si="2"/>
        <v>3</v>
      </c>
      <c r="N9" s="2">
        <f t="shared" si="2"/>
        <v>3</v>
      </c>
      <c r="O9" s="2">
        <f t="shared" si="2"/>
        <v>3</v>
      </c>
      <c r="P9" s="2">
        <f t="shared" si="2"/>
        <v>3</v>
      </c>
      <c r="Q9" s="2">
        <f t="shared" si="2"/>
        <v>0</v>
      </c>
      <c r="R9" s="2">
        <f t="shared" si="2"/>
        <v>0</v>
      </c>
      <c r="S9" s="2">
        <f t="shared" si="2"/>
        <v>0</v>
      </c>
      <c r="T9" s="2">
        <f t="shared" si="2"/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2">
        <f t="shared" si="2"/>
        <v>0</v>
      </c>
      <c r="Y9" s="2">
        <f t="shared" si="2"/>
        <v>0</v>
      </c>
      <c r="Z9" s="2">
        <f t="shared" si="2"/>
        <v>0</v>
      </c>
    </row>
    <row r="10" spans="1:31" x14ac:dyDescent="0.3">
      <c r="A10" s="2" t="s">
        <v>17</v>
      </c>
      <c r="B10" s="8" t="s">
        <v>14</v>
      </c>
      <c r="C10" s="2">
        <v>8</v>
      </c>
      <c r="D10" s="2">
        <v>150</v>
      </c>
      <c r="E10" s="2">
        <v>4</v>
      </c>
      <c r="F10" s="7">
        <f>G7+1</f>
        <v>45447</v>
      </c>
      <c r="G10" s="7">
        <f t="shared" si="1"/>
        <v>45450</v>
      </c>
      <c r="I10" s="2">
        <f t="shared" si="3"/>
        <v>0</v>
      </c>
      <c r="J10" s="2">
        <f t="shared" si="2"/>
        <v>0</v>
      </c>
      <c r="K10" s="2">
        <f t="shared" si="2"/>
        <v>0</v>
      </c>
      <c r="L10" s="2">
        <f t="shared" si="2"/>
        <v>8</v>
      </c>
      <c r="M10" s="2">
        <f t="shared" si="2"/>
        <v>8</v>
      </c>
      <c r="N10" s="2">
        <f t="shared" si="2"/>
        <v>8</v>
      </c>
      <c r="O10" s="2">
        <f t="shared" si="2"/>
        <v>8</v>
      </c>
      <c r="P10" s="2">
        <f t="shared" si="2"/>
        <v>0</v>
      </c>
      <c r="Q10" s="2">
        <f t="shared" si="2"/>
        <v>0</v>
      </c>
      <c r="R10" s="2">
        <f t="shared" si="2"/>
        <v>0</v>
      </c>
      <c r="S10" s="2">
        <f t="shared" si="2"/>
        <v>0</v>
      </c>
      <c r="T10" s="2">
        <f t="shared" si="2"/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2">
        <f t="shared" si="2"/>
        <v>0</v>
      </c>
      <c r="Y10" s="2">
        <f t="shared" si="2"/>
        <v>0</v>
      </c>
      <c r="Z10" s="2">
        <f t="shared" si="2"/>
        <v>0</v>
      </c>
    </row>
    <row r="11" spans="1:31" x14ac:dyDescent="0.3">
      <c r="A11" s="2" t="s">
        <v>18</v>
      </c>
      <c r="B11" s="8" t="s">
        <v>16</v>
      </c>
      <c r="C11" s="2">
        <v>6</v>
      </c>
      <c r="D11" s="2">
        <v>150</v>
      </c>
      <c r="E11" s="2">
        <v>4</v>
      </c>
      <c r="F11" s="7">
        <f>G9+1</f>
        <v>45452</v>
      </c>
      <c r="G11" s="7">
        <f t="shared" si="1"/>
        <v>45455</v>
      </c>
      <c r="I11" s="2">
        <f t="shared" si="3"/>
        <v>0</v>
      </c>
      <c r="J11" s="2">
        <f t="shared" si="2"/>
        <v>0</v>
      </c>
      <c r="K11" s="2">
        <f t="shared" si="2"/>
        <v>0</v>
      </c>
      <c r="L11" s="2">
        <f t="shared" si="2"/>
        <v>0</v>
      </c>
      <c r="M11" s="2">
        <f t="shared" si="2"/>
        <v>0</v>
      </c>
      <c r="N11" s="2">
        <f t="shared" si="2"/>
        <v>0</v>
      </c>
      <c r="O11" s="2">
        <f t="shared" si="2"/>
        <v>0</v>
      </c>
      <c r="P11" s="2">
        <f t="shared" si="2"/>
        <v>0</v>
      </c>
      <c r="Q11" s="2">
        <f t="shared" si="2"/>
        <v>6</v>
      </c>
      <c r="R11" s="2">
        <f t="shared" si="2"/>
        <v>6</v>
      </c>
      <c r="S11" s="2">
        <f t="shared" si="2"/>
        <v>6</v>
      </c>
      <c r="T11" s="2">
        <f t="shared" si="2"/>
        <v>6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2">
        <f t="shared" si="2"/>
        <v>0</v>
      </c>
      <c r="Y11" s="2">
        <f t="shared" si="2"/>
        <v>0</v>
      </c>
      <c r="Z11" s="2">
        <f t="shared" si="2"/>
        <v>0</v>
      </c>
    </row>
    <row r="12" spans="1:31" x14ac:dyDescent="0.3">
      <c r="A12" s="2" t="s">
        <v>19</v>
      </c>
      <c r="B12" s="8" t="s">
        <v>26</v>
      </c>
      <c r="C12" s="2">
        <v>8</v>
      </c>
      <c r="D12" s="2">
        <v>100</v>
      </c>
      <c r="E12" s="2">
        <v>5</v>
      </c>
      <c r="F12" s="7">
        <f>MAX(G8:G9)+1</f>
        <v>45452</v>
      </c>
      <c r="G12" s="7">
        <f t="shared" si="1"/>
        <v>45456</v>
      </c>
      <c r="I12" s="2">
        <f t="shared" si="3"/>
        <v>0</v>
      </c>
      <c r="J12" s="2">
        <f t="shared" si="2"/>
        <v>0</v>
      </c>
      <c r="K12" s="2">
        <f t="shared" si="2"/>
        <v>0</v>
      </c>
      <c r="L12" s="2">
        <f t="shared" si="2"/>
        <v>0</v>
      </c>
      <c r="M12" s="2">
        <f t="shared" si="2"/>
        <v>0</v>
      </c>
      <c r="N12" s="2">
        <f t="shared" si="2"/>
        <v>0</v>
      </c>
      <c r="O12" s="2">
        <f t="shared" si="2"/>
        <v>0</v>
      </c>
      <c r="P12" s="2">
        <f t="shared" si="2"/>
        <v>0</v>
      </c>
      <c r="Q12" s="2">
        <f t="shared" si="2"/>
        <v>8</v>
      </c>
      <c r="R12" s="2">
        <f t="shared" si="2"/>
        <v>8</v>
      </c>
      <c r="S12" s="2">
        <f t="shared" si="2"/>
        <v>8</v>
      </c>
      <c r="T12" s="2">
        <f t="shared" si="2"/>
        <v>8</v>
      </c>
      <c r="U12" s="2">
        <f t="shared" si="2"/>
        <v>8</v>
      </c>
      <c r="V12" s="2">
        <f t="shared" si="2"/>
        <v>0</v>
      </c>
      <c r="W12" s="2">
        <f t="shared" si="2"/>
        <v>0</v>
      </c>
      <c r="X12" s="2">
        <f t="shared" si="2"/>
        <v>0</v>
      </c>
      <c r="Y12" s="2">
        <f t="shared" si="2"/>
        <v>0</v>
      </c>
      <c r="Z12" s="2">
        <f t="shared" si="2"/>
        <v>0</v>
      </c>
    </row>
    <row r="13" spans="1:31" x14ac:dyDescent="0.3">
      <c r="A13" s="2" t="s">
        <v>20</v>
      </c>
      <c r="B13" s="8" t="s">
        <v>15</v>
      </c>
      <c r="C13" s="2">
        <v>5</v>
      </c>
      <c r="D13" s="2">
        <v>100</v>
      </c>
      <c r="E13" s="2">
        <v>2</v>
      </c>
      <c r="F13" s="7">
        <f>G8+1</f>
        <v>45449</v>
      </c>
      <c r="G13" s="7">
        <f t="shared" si="1"/>
        <v>45450</v>
      </c>
      <c r="I13" s="2">
        <f t="shared" si="3"/>
        <v>0</v>
      </c>
      <c r="J13" s="2">
        <f t="shared" si="2"/>
        <v>0</v>
      </c>
      <c r="K13" s="2">
        <f t="shared" si="2"/>
        <v>0</v>
      </c>
      <c r="L13" s="2">
        <f t="shared" si="2"/>
        <v>0</v>
      </c>
      <c r="M13" s="2">
        <f t="shared" si="2"/>
        <v>0</v>
      </c>
      <c r="N13" s="2">
        <f t="shared" si="2"/>
        <v>5</v>
      </c>
      <c r="O13" s="2">
        <f t="shared" si="2"/>
        <v>5</v>
      </c>
      <c r="P13" s="2">
        <f t="shared" si="2"/>
        <v>0</v>
      </c>
      <c r="Q13" s="2">
        <f t="shared" si="2"/>
        <v>0</v>
      </c>
      <c r="R13" s="2">
        <f t="shared" si="2"/>
        <v>0</v>
      </c>
      <c r="S13" s="2">
        <f t="shared" si="2"/>
        <v>0</v>
      </c>
      <c r="T13" s="2">
        <f t="shared" si="2"/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2">
        <f t="shared" si="2"/>
        <v>0</v>
      </c>
      <c r="Y13" s="2">
        <f t="shared" si="2"/>
        <v>0</v>
      </c>
      <c r="Z13" s="2">
        <f t="shared" si="2"/>
        <v>0</v>
      </c>
    </row>
    <row r="14" spans="1:31" x14ac:dyDescent="0.3">
      <c r="A14" s="2" t="s">
        <v>21</v>
      </c>
      <c r="B14" s="8" t="s">
        <v>17</v>
      </c>
      <c r="C14" s="2">
        <v>4</v>
      </c>
      <c r="D14" s="2">
        <v>100</v>
      </c>
      <c r="E14" s="2">
        <v>5</v>
      </c>
      <c r="F14" s="7">
        <f>G10+1</f>
        <v>45451</v>
      </c>
      <c r="G14" s="7">
        <f t="shared" si="1"/>
        <v>45455</v>
      </c>
      <c r="I14" s="2">
        <f t="shared" si="3"/>
        <v>0</v>
      </c>
      <c r="J14" s="2">
        <f t="shared" si="2"/>
        <v>0</v>
      </c>
      <c r="K14" s="2">
        <f t="shared" si="2"/>
        <v>0</v>
      </c>
      <c r="L14" s="2">
        <f t="shared" si="2"/>
        <v>0</v>
      </c>
      <c r="M14" s="2">
        <f t="shared" si="2"/>
        <v>0</v>
      </c>
      <c r="N14" s="2">
        <f t="shared" si="2"/>
        <v>0</v>
      </c>
      <c r="O14" s="2">
        <f t="shared" si="2"/>
        <v>0</v>
      </c>
      <c r="P14" s="2">
        <f t="shared" si="2"/>
        <v>4</v>
      </c>
      <c r="Q14" s="2">
        <f t="shared" si="2"/>
        <v>4</v>
      </c>
      <c r="R14" s="2">
        <f t="shared" si="2"/>
        <v>4</v>
      </c>
      <c r="S14" s="2">
        <f t="shared" si="2"/>
        <v>4</v>
      </c>
      <c r="T14" s="2">
        <f t="shared" si="2"/>
        <v>4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2">
        <f t="shared" si="2"/>
        <v>0</v>
      </c>
      <c r="Y14" s="2">
        <f t="shared" si="2"/>
        <v>0</v>
      </c>
      <c r="Z14" s="2">
        <f t="shared" si="2"/>
        <v>0</v>
      </c>
    </row>
    <row r="15" spans="1:31" x14ac:dyDescent="0.3">
      <c r="A15" s="2" t="s">
        <v>22</v>
      </c>
      <c r="B15" s="8" t="s">
        <v>18</v>
      </c>
      <c r="C15" s="2">
        <v>7</v>
      </c>
      <c r="D15" s="2">
        <v>100</v>
      </c>
      <c r="E15" s="2">
        <v>6</v>
      </c>
      <c r="F15" s="7">
        <f>G11+1</f>
        <v>45456</v>
      </c>
      <c r="G15" s="7">
        <f t="shared" si="1"/>
        <v>45461</v>
      </c>
      <c r="I15" s="2">
        <f t="shared" si="3"/>
        <v>0</v>
      </c>
      <c r="J15" s="2">
        <f t="shared" si="2"/>
        <v>0</v>
      </c>
      <c r="K15" s="2">
        <f t="shared" si="2"/>
        <v>0</v>
      </c>
      <c r="L15" s="2">
        <f t="shared" si="2"/>
        <v>0</v>
      </c>
      <c r="M15" s="2">
        <f t="shared" si="2"/>
        <v>0</v>
      </c>
      <c r="N15" s="2">
        <f t="shared" si="2"/>
        <v>0</v>
      </c>
      <c r="O15" s="2">
        <f t="shared" si="2"/>
        <v>0</v>
      </c>
      <c r="P15" s="2">
        <f t="shared" si="2"/>
        <v>0</v>
      </c>
      <c r="Q15" s="2">
        <f t="shared" si="2"/>
        <v>0</v>
      </c>
      <c r="R15" s="2">
        <f t="shared" si="2"/>
        <v>0</v>
      </c>
      <c r="S15" s="2">
        <f t="shared" si="2"/>
        <v>0</v>
      </c>
      <c r="T15" s="2">
        <f t="shared" si="2"/>
        <v>0</v>
      </c>
      <c r="U15" s="2">
        <f t="shared" si="2"/>
        <v>7</v>
      </c>
      <c r="V15" s="2">
        <f t="shared" si="2"/>
        <v>7</v>
      </c>
      <c r="W15" s="2">
        <f t="shared" si="2"/>
        <v>7</v>
      </c>
      <c r="X15" s="2">
        <f t="shared" si="2"/>
        <v>7</v>
      </c>
      <c r="Y15" s="2">
        <f t="shared" si="2"/>
        <v>7</v>
      </c>
      <c r="Z15" s="2">
        <f t="shared" si="2"/>
        <v>7</v>
      </c>
    </row>
    <row r="16" spans="1:31" x14ac:dyDescent="0.3">
      <c r="A16" s="2" t="s">
        <v>23</v>
      </c>
      <c r="B16" s="8" t="s">
        <v>27</v>
      </c>
      <c r="C16" s="2">
        <v>3</v>
      </c>
      <c r="D16" s="2">
        <v>100</v>
      </c>
      <c r="E16" s="2">
        <v>2</v>
      </c>
      <c r="F16" s="7">
        <f>MAX(G12:G14)+1</f>
        <v>45457</v>
      </c>
      <c r="G16" s="7">
        <f t="shared" si="1"/>
        <v>45458</v>
      </c>
      <c r="I16" s="2">
        <f t="shared" si="3"/>
        <v>0</v>
      </c>
      <c r="J16" s="2">
        <f t="shared" si="2"/>
        <v>0</v>
      </c>
      <c r="K16" s="2">
        <f t="shared" si="2"/>
        <v>0</v>
      </c>
      <c r="L16" s="2">
        <f t="shared" si="2"/>
        <v>0</v>
      </c>
      <c r="M16" s="2">
        <f t="shared" si="2"/>
        <v>0</v>
      </c>
      <c r="N16" s="2">
        <f t="shared" si="2"/>
        <v>0</v>
      </c>
      <c r="O16" s="2">
        <f t="shared" si="2"/>
        <v>0</v>
      </c>
      <c r="P16" s="2">
        <f t="shared" si="2"/>
        <v>0</v>
      </c>
      <c r="Q16" s="2">
        <f t="shared" si="2"/>
        <v>0</v>
      </c>
      <c r="R16" s="2">
        <f t="shared" si="2"/>
        <v>0</v>
      </c>
      <c r="S16" s="2">
        <f t="shared" si="2"/>
        <v>0</v>
      </c>
      <c r="T16" s="2">
        <f t="shared" si="2"/>
        <v>0</v>
      </c>
      <c r="U16" s="2">
        <f t="shared" si="2"/>
        <v>0</v>
      </c>
      <c r="V16" s="2">
        <f t="shared" si="2"/>
        <v>3</v>
      </c>
      <c r="W16" s="2">
        <f t="shared" si="2"/>
        <v>3</v>
      </c>
      <c r="X16" s="2">
        <f t="shared" si="2"/>
        <v>0</v>
      </c>
      <c r="Y16" s="2">
        <f t="shared" si="2"/>
        <v>0</v>
      </c>
      <c r="Z16" s="2">
        <f t="shared" si="2"/>
        <v>0</v>
      </c>
    </row>
    <row r="17" spans="1:31" x14ac:dyDescent="0.3">
      <c r="A17" s="3" t="s">
        <v>11</v>
      </c>
      <c r="B17" s="3" t="s">
        <v>24</v>
      </c>
      <c r="C17" s="3">
        <v>0</v>
      </c>
      <c r="D17" s="3">
        <v>0</v>
      </c>
      <c r="E17" s="3">
        <v>0</v>
      </c>
      <c r="F17" s="10">
        <f>MAX(G15:G16)</f>
        <v>45461</v>
      </c>
      <c r="G17" s="10">
        <f>F17+E17</f>
        <v>45461</v>
      </c>
      <c r="I17" s="15">
        <f>SUM(I6:I16)</f>
        <v>12</v>
      </c>
      <c r="J17" s="15">
        <f t="shared" ref="J17:Z17" si="4">SUM(J6:J16)</f>
        <v>12</v>
      </c>
      <c r="K17" s="15">
        <f t="shared" si="4"/>
        <v>6</v>
      </c>
      <c r="L17" s="15">
        <f t="shared" si="4"/>
        <v>18</v>
      </c>
      <c r="M17" s="15">
        <f t="shared" si="4"/>
        <v>18</v>
      </c>
      <c r="N17" s="15">
        <f t="shared" si="4"/>
        <v>16</v>
      </c>
      <c r="O17" s="15">
        <f t="shared" si="4"/>
        <v>16</v>
      </c>
      <c r="P17" s="15">
        <f t="shared" si="4"/>
        <v>7</v>
      </c>
      <c r="Q17" s="15">
        <f t="shared" si="4"/>
        <v>18</v>
      </c>
      <c r="R17" s="15">
        <f t="shared" si="4"/>
        <v>18</v>
      </c>
      <c r="S17" s="15">
        <f t="shared" si="4"/>
        <v>18</v>
      </c>
      <c r="T17" s="15">
        <f t="shared" si="4"/>
        <v>18</v>
      </c>
      <c r="U17" s="15">
        <f t="shared" si="4"/>
        <v>15</v>
      </c>
      <c r="V17" s="15">
        <f t="shared" si="4"/>
        <v>10</v>
      </c>
      <c r="W17" s="15">
        <f t="shared" si="4"/>
        <v>10</v>
      </c>
      <c r="X17" s="15">
        <f t="shared" si="4"/>
        <v>7</v>
      </c>
      <c r="Y17" s="15">
        <f t="shared" si="4"/>
        <v>7</v>
      </c>
      <c r="Z17" s="15">
        <f t="shared" si="4"/>
        <v>7</v>
      </c>
      <c r="AB17" t="s">
        <v>6</v>
      </c>
    </row>
    <row r="18" spans="1:31" x14ac:dyDescent="0.3">
      <c r="I18" s="16">
        <f>I6*$E$6+I7*$E$7+I8*$E$8+I9*$E$9+I10*$E$10+I11*$E$11+I12*$E$12+I13*$E$13+I14*$E$14+I15*$E$15+I16*$E$16</f>
        <v>30</v>
      </c>
      <c r="J18" s="16">
        <f t="shared" ref="J18:Z18" si="5">J6*$E$6+J7*$E$7+J8*$E$8+J9*$E$9+J10*$E$10+J11*$E$11+J12*$E$12+J13*$E$13+J14*$E$14+J15*$E$15+J16*$E$16</f>
        <v>30</v>
      </c>
      <c r="K18" s="16">
        <f t="shared" si="5"/>
        <v>18</v>
      </c>
      <c r="L18" s="16">
        <f t="shared" si="5"/>
        <v>61</v>
      </c>
      <c r="M18" s="16">
        <f t="shared" si="5"/>
        <v>61</v>
      </c>
      <c r="N18" s="16">
        <f t="shared" si="5"/>
        <v>57</v>
      </c>
      <c r="O18" s="16">
        <f t="shared" si="5"/>
        <v>57</v>
      </c>
      <c r="P18" s="16">
        <f t="shared" si="5"/>
        <v>35</v>
      </c>
      <c r="Q18" s="16">
        <f t="shared" si="5"/>
        <v>84</v>
      </c>
      <c r="R18" s="16">
        <f t="shared" si="5"/>
        <v>84</v>
      </c>
      <c r="S18" s="16">
        <f t="shared" si="5"/>
        <v>84</v>
      </c>
      <c r="T18" s="16">
        <f t="shared" si="5"/>
        <v>84</v>
      </c>
      <c r="U18" s="16">
        <f t="shared" si="5"/>
        <v>82</v>
      </c>
      <c r="V18" s="16">
        <f t="shared" si="5"/>
        <v>48</v>
      </c>
      <c r="W18" s="16">
        <f t="shared" si="5"/>
        <v>48</v>
      </c>
      <c r="X18" s="16">
        <f t="shared" si="5"/>
        <v>42</v>
      </c>
      <c r="Y18" s="16">
        <f t="shared" si="5"/>
        <v>42</v>
      </c>
      <c r="Z18" s="16">
        <f t="shared" si="5"/>
        <v>42</v>
      </c>
      <c r="AA18" s="16">
        <f>SUM(I18:Z18)</f>
        <v>989</v>
      </c>
      <c r="AB18" s="11" t="s">
        <v>7</v>
      </c>
    </row>
    <row r="21" spans="1:31" x14ac:dyDescent="0.3">
      <c r="F21" s="21" t="s">
        <v>30</v>
      </c>
      <c r="G21" s="21"/>
      <c r="I21" s="22" t="s">
        <v>3</v>
      </c>
      <c r="J21" s="23"/>
    </row>
    <row r="22" spans="1:31" x14ac:dyDescent="0.3">
      <c r="A22" s="1" t="s">
        <v>4</v>
      </c>
      <c r="B22" s="1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I22" s="12">
        <f>B1</f>
        <v>45444</v>
      </c>
      <c r="J22" s="12">
        <f>I22+1</f>
        <v>45445</v>
      </c>
      <c r="K22" s="12">
        <f t="shared" ref="K22" si="6">J22+1</f>
        <v>45446</v>
      </c>
      <c r="L22" s="12">
        <f t="shared" ref="L22" si="7">K22+1</f>
        <v>45447</v>
      </c>
      <c r="M22" s="12">
        <f t="shared" ref="M22" si="8">L22+1</f>
        <v>45448</v>
      </c>
      <c r="N22" s="12">
        <f t="shared" ref="N22" si="9">M22+1</f>
        <v>45449</v>
      </c>
      <c r="O22" s="12">
        <f t="shared" ref="O22" si="10">N22+1</f>
        <v>45450</v>
      </c>
      <c r="P22" s="12">
        <f t="shared" ref="P22" si="11">O22+1</f>
        <v>45451</v>
      </c>
      <c r="Q22" s="12">
        <f t="shared" ref="Q22" si="12">P22+1</f>
        <v>45452</v>
      </c>
      <c r="R22" s="12">
        <f t="shared" ref="R22" si="13">Q22+1</f>
        <v>45453</v>
      </c>
      <c r="S22" s="12">
        <f t="shared" ref="S22" si="14">R22+1</f>
        <v>45454</v>
      </c>
      <c r="T22" s="12">
        <f t="shared" ref="T22" si="15">S22+1</f>
        <v>45455</v>
      </c>
      <c r="U22" s="12">
        <f t="shared" ref="U22" si="16">T22+1</f>
        <v>45456</v>
      </c>
      <c r="V22" s="12">
        <f t="shared" ref="V22" si="17">U22+1</f>
        <v>45457</v>
      </c>
      <c r="W22" s="12">
        <f t="shared" ref="W22" si="18">V22+1</f>
        <v>45458</v>
      </c>
      <c r="X22" s="12">
        <f t="shared" ref="X22" si="19">W22+1</f>
        <v>45459</v>
      </c>
      <c r="Y22" s="12">
        <f t="shared" ref="Y22" si="20">X22+1</f>
        <v>45460</v>
      </c>
      <c r="Z22" s="12">
        <f t="shared" ref="Z22" si="21">Y22+1</f>
        <v>45461</v>
      </c>
    </row>
    <row r="23" spans="1:31" x14ac:dyDescent="0.3">
      <c r="A23" s="3" t="s">
        <v>11</v>
      </c>
      <c r="B23" s="3" t="s">
        <v>12</v>
      </c>
      <c r="C23" s="3">
        <v>0</v>
      </c>
      <c r="D23" s="3">
        <v>0</v>
      </c>
      <c r="E23" s="3">
        <v>0</v>
      </c>
      <c r="F23" s="4"/>
      <c r="G23" s="4"/>
      <c r="I23" s="13"/>
      <c r="J23" s="13"/>
      <c r="K23" s="13"/>
      <c r="L23" s="13"/>
      <c r="M23" s="13"/>
      <c r="N23" s="1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B23" s="14" t="s">
        <v>31</v>
      </c>
      <c r="AC23" s="2">
        <f>MAX(I35:Z35)</f>
        <v>24</v>
      </c>
      <c r="AD23" s="14" t="s">
        <v>32</v>
      </c>
      <c r="AE23" s="7">
        <f ca="1">OFFSET(I22,0,MATCH(AC23,I35:Z35,0))</f>
        <v>45459</v>
      </c>
    </row>
    <row r="24" spans="1:31" x14ac:dyDescent="0.3">
      <c r="A24" s="5" t="s">
        <v>13</v>
      </c>
      <c r="B24" s="6" t="s">
        <v>11</v>
      </c>
      <c r="C24" s="2">
        <v>6</v>
      </c>
      <c r="D24" s="2">
        <v>150</v>
      </c>
      <c r="E24" s="5">
        <v>2</v>
      </c>
      <c r="F24" s="7">
        <f t="shared" ref="F24:F34" si="22">G24-E24+1</f>
        <v>45445</v>
      </c>
      <c r="G24" s="7">
        <f>F27-1</f>
        <v>45446</v>
      </c>
      <c r="I24" s="2">
        <f t="shared" ref="I24:I34" si="23">IF(AND(I$22&gt;=$F24,I$22&lt;=$G24),$C24,0)</f>
        <v>0</v>
      </c>
      <c r="J24" s="2">
        <f t="shared" ref="J24:Z34" si="24">IF(AND(J$22&gt;=$F24,J$22&lt;=$G24),$C24,0)</f>
        <v>6</v>
      </c>
      <c r="K24" s="2">
        <f t="shared" si="24"/>
        <v>6</v>
      </c>
      <c r="L24" s="2">
        <f t="shared" si="24"/>
        <v>0</v>
      </c>
      <c r="M24" s="2">
        <f t="shared" si="24"/>
        <v>0</v>
      </c>
      <c r="N24" s="2">
        <f t="shared" si="24"/>
        <v>0</v>
      </c>
      <c r="O24" s="2">
        <f t="shared" si="24"/>
        <v>0</v>
      </c>
      <c r="P24" s="2">
        <f t="shared" si="24"/>
        <v>0</v>
      </c>
      <c r="Q24" s="2">
        <f t="shared" si="24"/>
        <v>0</v>
      </c>
      <c r="R24" s="2">
        <f t="shared" si="24"/>
        <v>0</v>
      </c>
      <c r="S24" s="2">
        <f t="shared" si="24"/>
        <v>0</v>
      </c>
      <c r="T24" s="2">
        <f t="shared" si="24"/>
        <v>0</v>
      </c>
      <c r="U24" s="2">
        <f t="shared" si="24"/>
        <v>0</v>
      </c>
      <c r="V24" s="2">
        <f t="shared" si="24"/>
        <v>0</v>
      </c>
      <c r="W24" s="2">
        <f t="shared" si="24"/>
        <v>0</v>
      </c>
      <c r="X24" s="2">
        <f t="shared" si="24"/>
        <v>0</v>
      </c>
      <c r="Y24" s="2">
        <f t="shared" si="24"/>
        <v>0</v>
      </c>
      <c r="Z24" s="2">
        <f t="shared" si="24"/>
        <v>0</v>
      </c>
      <c r="AB24" s="14" t="s">
        <v>33</v>
      </c>
      <c r="AC24" s="2">
        <f>MIN(I35:Z35)</f>
        <v>3</v>
      </c>
      <c r="AD24" s="14" t="s">
        <v>32</v>
      </c>
      <c r="AE24" s="7">
        <f ca="1">OFFSET(I22,0,MATCH(AC24,I35:Z35,0))</f>
        <v>45448</v>
      </c>
    </row>
    <row r="25" spans="1:31" x14ac:dyDescent="0.3">
      <c r="A25" s="2" t="s">
        <v>14</v>
      </c>
      <c r="B25" s="8" t="s">
        <v>11</v>
      </c>
      <c r="C25" s="2">
        <v>6</v>
      </c>
      <c r="D25" s="2">
        <v>150</v>
      </c>
      <c r="E25" s="2">
        <v>3</v>
      </c>
      <c r="F25" s="7">
        <f t="shared" si="22"/>
        <v>45444</v>
      </c>
      <c r="G25" s="7">
        <f>MIN(F26:F28)-1</f>
        <v>45446</v>
      </c>
      <c r="I25" s="2">
        <f t="shared" si="23"/>
        <v>6</v>
      </c>
      <c r="J25" s="2">
        <f t="shared" ref="J25:X25" si="25">IF(AND(J$22&gt;=$F25,J$22&lt;=$G25),$C25,0)</f>
        <v>6</v>
      </c>
      <c r="K25" s="2">
        <f t="shared" si="25"/>
        <v>6</v>
      </c>
      <c r="L25" s="2">
        <f t="shared" si="25"/>
        <v>0</v>
      </c>
      <c r="M25" s="2">
        <f t="shared" si="25"/>
        <v>0</v>
      </c>
      <c r="N25" s="2">
        <f t="shared" si="25"/>
        <v>0</v>
      </c>
      <c r="O25" s="2">
        <f t="shared" si="25"/>
        <v>0</v>
      </c>
      <c r="P25" s="2">
        <f t="shared" si="25"/>
        <v>0</v>
      </c>
      <c r="Q25" s="2">
        <f t="shared" si="25"/>
        <v>0</v>
      </c>
      <c r="R25" s="2">
        <f t="shared" si="25"/>
        <v>0</v>
      </c>
      <c r="S25" s="2">
        <f t="shared" si="25"/>
        <v>0</v>
      </c>
      <c r="T25" s="2">
        <f t="shared" si="25"/>
        <v>0</v>
      </c>
      <c r="U25" s="2">
        <f t="shared" si="25"/>
        <v>0</v>
      </c>
      <c r="V25" s="2">
        <f t="shared" si="25"/>
        <v>0</v>
      </c>
      <c r="W25" s="2">
        <f t="shared" si="25"/>
        <v>0</v>
      </c>
      <c r="X25" s="2">
        <f t="shared" si="25"/>
        <v>0</v>
      </c>
      <c r="Y25" s="2">
        <f t="shared" si="24"/>
        <v>0</v>
      </c>
      <c r="Z25" s="2">
        <f t="shared" si="24"/>
        <v>0</v>
      </c>
    </row>
    <row r="26" spans="1:31" x14ac:dyDescent="0.3">
      <c r="A26" s="2" t="s">
        <v>15</v>
      </c>
      <c r="B26" s="8" t="s">
        <v>14</v>
      </c>
      <c r="C26" s="2">
        <v>7</v>
      </c>
      <c r="D26" s="2">
        <v>150</v>
      </c>
      <c r="E26" s="2">
        <v>2</v>
      </c>
      <c r="F26" s="7">
        <f t="shared" si="22"/>
        <v>45453</v>
      </c>
      <c r="G26" s="7">
        <f>MIN(F30:F31)-1</f>
        <v>45454</v>
      </c>
      <c r="I26" s="2">
        <f t="shared" si="23"/>
        <v>0</v>
      </c>
      <c r="J26" s="2">
        <f t="shared" si="24"/>
        <v>0</v>
      </c>
      <c r="K26" s="2">
        <f t="shared" si="24"/>
        <v>0</v>
      </c>
      <c r="L26" s="2">
        <f t="shared" si="24"/>
        <v>0</v>
      </c>
      <c r="M26" s="2">
        <f t="shared" si="24"/>
        <v>0</v>
      </c>
      <c r="N26" s="2">
        <f t="shared" si="24"/>
        <v>0</v>
      </c>
      <c r="O26" s="2">
        <f t="shared" si="24"/>
        <v>0</v>
      </c>
      <c r="P26" s="2">
        <f t="shared" si="24"/>
        <v>0</v>
      </c>
      <c r="Q26" s="2">
        <f t="shared" si="24"/>
        <v>0</v>
      </c>
      <c r="R26" s="2">
        <f t="shared" si="24"/>
        <v>7</v>
      </c>
      <c r="S26" s="2">
        <f t="shared" si="24"/>
        <v>7</v>
      </c>
      <c r="T26" s="2">
        <f t="shared" si="24"/>
        <v>0</v>
      </c>
      <c r="U26" s="2">
        <f t="shared" si="24"/>
        <v>0</v>
      </c>
      <c r="V26" s="2">
        <f t="shared" si="24"/>
        <v>0</v>
      </c>
      <c r="W26" s="2">
        <f t="shared" si="24"/>
        <v>0</v>
      </c>
      <c r="X26" s="2">
        <f t="shared" si="24"/>
        <v>0</v>
      </c>
      <c r="Y26" s="2">
        <f t="shared" si="24"/>
        <v>0</v>
      </c>
      <c r="Z26" s="2">
        <f t="shared" si="24"/>
        <v>0</v>
      </c>
    </row>
    <row r="27" spans="1:31" x14ac:dyDescent="0.3">
      <c r="A27" s="2" t="s">
        <v>16</v>
      </c>
      <c r="B27" s="8" t="s">
        <v>25</v>
      </c>
      <c r="C27" s="2">
        <v>3</v>
      </c>
      <c r="D27" s="2">
        <v>150</v>
      </c>
      <c r="E27" s="2">
        <v>5</v>
      </c>
      <c r="F27" s="7">
        <f t="shared" si="22"/>
        <v>45447</v>
      </c>
      <c r="G27" s="7">
        <f>MIN(F29:F30)-1</f>
        <v>45451</v>
      </c>
      <c r="I27" s="2">
        <f t="shared" si="23"/>
        <v>0</v>
      </c>
      <c r="J27" s="2">
        <f t="shared" si="24"/>
        <v>0</v>
      </c>
      <c r="K27" s="2">
        <f t="shared" si="24"/>
        <v>0</v>
      </c>
      <c r="L27" s="2">
        <f t="shared" si="24"/>
        <v>3</v>
      </c>
      <c r="M27" s="2">
        <f t="shared" si="24"/>
        <v>3</v>
      </c>
      <c r="N27" s="2">
        <f t="shared" si="24"/>
        <v>3</v>
      </c>
      <c r="O27" s="2">
        <f t="shared" si="24"/>
        <v>3</v>
      </c>
      <c r="P27" s="2">
        <f t="shared" si="24"/>
        <v>3</v>
      </c>
      <c r="Q27" s="2">
        <f t="shared" si="24"/>
        <v>0</v>
      </c>
      <c r="R27" s="2">
        <f t="shared" si="24"/>
        <v>0</v>
      </c>
      <c r="S27" s="2">
        <f t="shared" si="24"/>
        <v>0</v>
      </c>
      <c r="T27" s="2">
        <f t="shared" si="24"/>
        <v>0</v>
      </c>
      <c r="U27" s="2">
        <f t="shared" si="24"/>
        <v>0</v>
      </c>
      <c r="V27" s="2">
        <f t="shared" si="24"/>
        <v>0</v>
      </c>
      <c r="W27" s="2">
        <f t="shared" si="24"/>
        <v>0</v>
      </c>
      <c r="X27" s="2">
        <f t="shared" si="24"/>
        <v>0</v>
      </c>
      <c r="Y27" s="2">
        <f t="shared" si="24"/>
        <v>0</v>
      </c>
      <c r="Z27" s="2">
        <f t="shared" si="24"/>
        <v>0</v>
      </c>
    </row>
    <row r="28" spans="1:31" x14ac:dyDescent="0.3">
      <c r="A28" s="2" t="s">
        <v>17</v>
      </c>
      <c r="B28" s="8" t="s">
        <v>14</v>
      </c>
      <c r="C28" s="2">
        <v>8</v>
      </c>
      <c r="D28" s="2">
        <v>150</v>
      </c>
      <c r="E28" s="2">
        <v>4</v>
      </c>
      <c r="F28" s="7">
        <f t="shared" si="22"/>
        <v>45451</v>
      </c>
      <c r="G28" s="7">
        <f>F32-1</f>
        <v>45454</v>
      </c>
      <c r="I28" s="2">
        <f t="shared" si="23"/>
        <v>0</v>
      </c>
      <c r="J28" s="2">
        <f t="shared" si="24"/>
        <v>0</v>
      </c>
      <c r="K28" s="2">
        <f t="shared" si="24"/>
        <v>0</v>
      </c>
      <c r="L28" s="2">
        <f t="shared" si="24"/>
        <v>0</v>
      </c>
      <c r="M28" s="2">
        <f t="shared" si="24"/>
        <v>0</v>
      </c>
      <c r="N28" s="2">
        <f t="shared" si="24"/>
        <v>0</v>
      </c>
      <c r="O28" s="2">
        <f t="shared" si="24"/>
        <v>0</v>
      </c>
      <c r="P28" s="2">
        <f t="shared" si="24"/>
        <v>8</v>
      </c>
      <c r="Q28" s="2">
        <f t="shared" si="24"/>
        <v>8</v>
      </c>
      <c r="R28" s="2">
        <f t="shared" si="24"/>
        <v>8</v>
      </c>
      <c r="S28" s="2">
        <f t="shared" si="24"/>
        <v>8</v>
      </c>
      <c r="T28" s="2">
        <f t="shared" si="24"/>
        <v>0</v>
      </c>
      <c r="U28" s="2">
        <f t="shared" si="24"/>
        <v>0</v>
      </c>
      <c r="V28" s="2">
        <f t="shared" si="24"/>
        <v>0</v>
      </c>
      <c r="W28" s="2">
        <f t="shared" si="24"/>
        <v>0</v>
      </c>
      <c r="X28" s="2">
        <f t="shared" si="24"/>
        <v>0</v>
      </c>
      <c r="Y28" s="2">
        <f t="shared" si="24"/>
        <v>0</v>
      </c>
      <c r="Z28" s="2">
        <f t="shared" si="24"/>
        <v>0</v>
      </c>
    </row>
    <row r="29" spans="1:31" x14ac:dyDescent="0.3">
      <c r="A29" s="2" t="s">
        <v>18</v>
      </c>
      <c r="B29" s="8" t="s">
        <v>16</v>
      </c>
      <c r="C29" s="2">
        <v>6</v>
      </c>
      <c r="D29" s="2">
        <v>150</v>
      </c>
      <c r="E29" s="2">
        <v>4</v>
      </c>
      <c r="F29" s="7">
        <f t="shared" si="22"/>
        <v>45452</v>
      </c>
      <c r="G29" s="7">
        <f>F33-1</f>
        <v>45455</v>
      </c>
      <c r="I29" s="2">
        <f t="shared" si="23"/>
        <v>0</v>
      </c>
      <c r="J29" s="2">
        <f t="shared" si="24"/>
        <v>0</v>
      </c>
      <c r="K29" s="2">
        <f t="shared" si="24"/>
        <v>0</v>
      </c>
      <c r="L29" s="2">
        <f t="shared" si="24"/>
        <v>0</v>
      </c>
      <c r="M29" s="2">
        <f t="shared" si="24"/>
        <v>0</v>
      </c>
      <c r="N29" s="2">
        <f t="shared" si="24"/>
        <v>0</v>
      </c>
      <c r="O29" s="2">
        <f t="shared" si="24"/>
        <v>0</v>
      </c>
      <c r="P29" s="2">
        <f t="shared" si="24"/>
        <v>0</v>
      </c>
      <c r="Q29" s="2">
        <f t="shared" si="24"/>
        <v>6</v>
      </c>
      <c r="R29" s="2">
        <f t="shared" si="24"/>
        <v>6</v>
      </c>
      <c r="S29" s="2">
        <f t="shared" si="24"/>
        <v>6</v>
      </c>
      <c r="T29" s="2">
        <f t="shared" si="24"/>
        <v>6</v>
      </c>
      <c r="U29" s="2">
        <f t="shared" si="24"/>
        <v>0</v>
      </c>
      <c r="V29" s="2">
        <f t="shared" si="24"/>
        <v>0</v>
      </c>
      <c r="W29" s="2">
        <f t="shared" si="24"/>
        <v>0</v>
      </c>
      <c r="X29" s="2">
        <f t="shared" si="24"/>
        <v>0</v>
      </c>
      <c r="Y29" s="2">
        <f t="shared" si="24"/>
        <v>0</v>
      </c>
      <c r="Z29" s="2">
        <f t="shared" si="24"/>
        <v>0</v>
      </c>
    </row>
    <row r="30" spans="1:31" x14ac:dyDescent="0.3">
      <c r="A30" s="2" t="s">
        <v>19</v>
      </c>
      <c r="B30" s="8" t="s">
        <v>26</v>
      </c>
      <c r="C30" s="2">
        <v>8</v>
      </c>
      <c r="D30" s="2">
        <v>100</v>
      </c>
      <c r="E30" s="2">
        <v>5</v>
      </c>
      <c r="F30" s="7">
        <f t="shared" si="22"/>
        <v>45455</v>
      </c>
      <c r="G30" s="7">
        <f>F34-1</f>
        <v>45459</v>
      </c>
      <c r="I30" s="2">
        <f t="shared" si="23"/>
        <v>0</v>
      </c>
      <c r="J30" s="2">
        <f t="shared" si="24"/>
        <v>0</v>
      </c>
      <c r="K30" s="2">
        <f t="shared" si="24"/>
        <v>0</v>
      </c>
      <c r="L30" s="2">
        <f t="shared" si="24"/>
        <v>0</v>
      </c>
      <c r="M30" s="2">
        <f t="shared" si="24"/>
        <v>0</v>
      </c>
      <c r="N30" s="2">
        <f t="shared" si="24"/>
        <v>0</v>
      </c>
      <c r="O30" s="2">
        <f t="shared" si="24"/>
        <v>0</v>
      </c>
      <c r="P30" s="2">
        <f t="shared" si="24"/>
        <v>0</v>
      </c>
      <c r="Q30" s="2">
        <f t="shared" si="24"/>
        <v>0</v>
      </c>
      <c r="R30" s="2">
        <f t="shared" si="24"/>
        <v>0</v>
      </c>
      <c r="S30" s="2">
        <f t="shared" si="24"/>
        <v>0</v>
      </c>
      <c r="T30" s="2">
        <f t="shared" si="24"/>
        <v>8</v>
      </c>
      <c r="U30" s="2">
        <f t="shared" si="24"/>
        <v>8</v>
      </c>
      <c r="V30" s="2">
        <f t="shared" si="24"/>
        <v>8</v>
      </c>
      <c r="W30" s="2">
        <f t="shared" si="24"/>
        <v>8</v>
      </c>
      <c r="X30" s="2">
        <f t="shared" si="24"/>
        <v>8</v>
      </c>
      <c r="Y30" s="2">
        <f t="shared" si="24"/>
        <v>0</v>
      </c>
      <c r="Z30" s="2">
        <f t="shared" si="24"/>
        <v>0</v>
      </c>
    </row>
    <row r="31" spans="1:31" x14ac:dyDescent="0.3">
      <c r="A31" s="2" t="s">
        <v>20</v>
      </c>
      <c r="B31" s="8" t="s">
        <v>15</v>
      </c>
      <c r="C31" s="2">
        <v>5</v>
      </c>
      <c r="D31" s="2">
        <v>100</v>
      </c>
      <c r="E31" s="2">
        <v>2</v>
      </c>
      <c r="F31" s="7">
        <f t="shared" si="22"/>
        <v>45458</v>
      </c>
      <c r="G31" s="7">
        <f>F34-1</f>
        <v>45459</v>
      </c>
      <c r="I31" s="2">
        <f t="shared" si="23"/>
        <v>0</v>
      </c>
      <c r="J31" s="2">
        <f t="shared" si="24"/>
        <v>0</v>
      </c>
      <c r="K31" s="2">
        <f t="shared" si="24"/>
        <v>0</v>
      </c>
      <c r="L31" s="2">
        <f t="shared" si="24"/>
        <v>0</v>
      </c>
      <c r="M31" s="2">
        <f t="shared" si="24"/>
        <v>0</v>
      </c>
      <c r="N31" s="2">
        <f t="shared" si="24"/>
        <v>0</v>
      </c>
      <c r="O31" s="2">
        <f t="shared" si="24"/>
        <v>0</v>
      </c>
      <c r="P31" s="2">
        <f t="shared" si="24"/>
        <v>0</v>
      </c>
      <c r="Q31" s="2">
        <f t="shared" si="24"/>
        <v>0</v>
      </c>
      <c r="R31" s="2">
        <f t="shared" si="24"/>
        <v>0</v>
      </c>
      <c r="S31" s="2">
        <f t="shared" si="24"/>
        <v>0</v>
      </c>
      <c r="T31" s="2">
        <f t="shared" si="24"/>
        <v>0</v>
      </c>
      <c r="U31" s="2">
        <f t="shared" si="24"/>
        <v>0</v>
      </c>
      <c r="V31" s="2">
        <f t="shared" si="24"/>
        <v>0</v>
      </c>
      <c r="W31" s="2">
        <f t="shared" si="24"/>
        <v>5</v>
      </c>
      <c r="X31" s="2">
        <f t="shared" si="24"/>
        <v>5</v>
      </c>
      <c r="Y31" s="2">
        <f t="shared" si="24"/>
        <v>0</v>
      </c>
      <c r="Z31" s="2">
        <f t="shared" si="24"/>
        <v>0</v>
      </c>
    </row>
    <row r="32" spans="1:31" x14ac:dyDescent="0.3">
      <c r="A32" s="2" t="s">
        <v>21</v>
      </c>
      <c r="B32" s="8" t="s">
        <v>17</v>
      </c>
      <c r="C32" s="2">
        <v>4</v>
      </c>
      <c r="D32" s="2">
        <v>100</v>
      </c>
      <c r="E32" s="2">
        <v>5</v>
      </c>
      <c r="F32" s="7">
        <f t="shared" si="22"/>
        <v>45455</v>
      </c>
      <c r="G32" s="7">
        <f>F34-1</f>
        <v>45459</v>
      </c>
      <c r="I32" s="2">
        <f t="shared" si="23"/>
        <v>0</v>
      </c>
      <c r="J32" s="2">
        <f t="shared" si="24"/>
        <v>0</v>
      </c>
      <c r="K32" s="2">
        <f t="shared" si="24"/>
        <v>0</v>
      </c>
      <c r="L32" s="2">
        <f t="shared" si="24"/>
        <v>0</v>
      </c>
      <c r="M32" s="2">
        <f t="shared" si="24"/>
        <v>0</v>
      </c>
      <c r="N32" s="2">
        <f t="shared" si="24"/>
        <v>0</v>
      </c>
      <c r="O32" s="2">
        <f t="shared" si="24"/>
        <v>0</v>
      </c>
      <c r="P32" s="2">
        <f t="shared" si="24"/>
        <v>0</v>
      </c>
      <c r="Q32" s="2">
        <f t="shared" si="24"/>
        <v>0</v>
      </c>
      <c r="R32" s="2">
        <f t="shared" si="24"/>
        <v>0</v>
      </c>
      <c r="S32" s="2">
        <f t="shared" si="24"/>
        <v>0</v>
      </c>
      <c r="T32" s="2">
        <f t="shared" si="24"/>
        <v>4</v>
      </c>
      <c r="U32" s="2">
        <f t="shared" si="24"/>
        <v>4</v>
      </c>
      <c r="V32" s="2">
        <f t="shared" si="24"/>
        <v>4</v>
      </c>
      <c r="W32" s="2">
        <f t="shared" si="24"/>
        <v>4</v>
      </c>
      <c r="X32" s="2">
        <f t="shared" si="24"/>
        <v>4</v>
      </c>
      <c r="Y32" s="2">
        <f t="shared" si="24"/>
        <v>0</v>
      </c>
      <c r="Z32" s="2">
        <f t="shared" si="24"/>
        <v>0</v>
      </c>
    </row>
    <row r="33" spans="1:28" x14ac:dyDescent="0.3">
      <c r="A33" s="2" t="s">
        <v>22</v>
      </c>
      <c r="B33" s="8" t="s">
        <v>18</v>
      </c>
      <c r="C33" s="2">
        <v>7</v>
      </c>
      <c r="D33" s="2">
        <v>100</v>
      </c>
      <c r="E33" s="2">
        <v>6</v>
      </c>
      <c r="F33" s="7">
        <f t="shared" si="22"/>
        <v>45456</v>
      </c>
      <c r="G33" s="7">
        <f>F35</f>
        <v>45461</v>
      </c>
      <c r="I33" s="2">
        <f t="shared" si="23"/>
        <v>0</v>
      </c>
      <c r="J33" s="2">
        <f t="shared" si="24"/>
        <v>0</v>
      </c>
      <c r="K33" s="2">
        <f t="shared" si="24"/>
        <v>0</v>
      </c>
      <c r="L33" s="2">
        <f t="shared" si="24"/>
        <v>0</v>
      </c>
      <c r="M33" s="2">
        <f t="shared" si="24"/>
        <v>0</v>
      </c>
      <c r="N33" s="2">
        <f t="shared" si="24"/>
        <v>0</v>
      </c>
      <c r="O33" s="2">
        <f t="shared" si="24"/>
        <v>0</v>
      </c>
      <c r="P33" s="2">
        <f t="shared" si="24"/>
        <v>0</v>
      </c>
      <c r="Q33" s="2">
        <f t="shared" si="24"/>
        <v>0</v>
      </c>
      <c r="R33" s="2">
        <f t="shared" si="24"/>
        <v>0</v>
      </c>
      <c r="S33" s="2">
        <f t="shared" si="24"/>
        <v>0</v>
      </c>
      <c r="T33" s="2">
        <f t="shared" si="24"/>
        <v>0</v>
      </c>
      <c r="U33" s="2">
        <f t="shared" si="24"/>
        <v>7</v>
      </c>
      <c r="V33" s="2">
        <f t="shared" si="24"/>
        <v>7</v>
      </c>
      <c r="W33" s="2">
        <f t="shared" si="24"/>
        <v>7</v>
      </c>
      <c r="X33" s="2">
        <f t="shared" si="24"/>
        <v>7</v>
      </c>
      <c r="Y33" s="2">
        <f t="shared" si="24"/>
        <v>7</v>
      </c>
      <c r="Z33" s="2">
        <f t="shared" si="24"/>
        <v>7</v>
      </c>
    </row>
    <row r="34" spans="1:28" x14ac:dyDescent="0.3">
      <c r="A34" s="2" t="s">
        <v>23</v>
      </c>
      <c r="B34" s="8" t="s">
        <v>27</v>
      </c>
      <c r="C34" s="2">
        <v>3</v>
      </c>
      <c r="D34" s="2">
        <v>100</v>
      </c>
      <c r="E34" s="2">
        <v>2</v>
      </c>
      <c r="F34" s="7">
        <f t="shared" si="22"/>
        <v>45460</v>
      </c>
      <c r="G34" s="7">
        <f>F35</f>
        <v>45461</v>
      </c>
      <c r="I34" s="2">
        <f t="shared" si="23"/>
        <v>0</v>
      </c>
      <c r="J34" s="2">
        <f t="shared" si="24"/>
        <v>0</v>
      </c>
      <c r="K34" s="2">
        <f t="shared" si="24"/>
        <v>0</v>
      </c>
      <c r="L34" s="2">
        <f t="shared" si="24"/>
        <v>0</v>
      </c>
      <c r="M34" s="2">
        <f t="shared" si="24"/>
        <v>0</v>
      </c>
      <c r="N34" s="2">
        <f t="shared" si="24"/>
        <v>0</v>
      </c>
      <c r="O34" s="2">
        <f t="shared" si="24"/>
        <v>0</v>
      </c>
      <c r="P34" s="2">
        <f t="shared" si="24"/>
        <v>0</v>
      </c>
      <c r="Q34" s="2">
        <f t="shared" si="24"/>
        <v>0</v>
      </c>
      <c r="R34" s="2">
        <f t="shared" si="24"/>
        <v>0</v>
      </c>
      <c r="S34" s="2">
        <f t="shared" si="24"/>
        <v>0</v>
      </c>
      <c r="T34" s="2">
        <f t="shared" si="24"/>
        <v>0</v>
      </c>
      <c r="U34" s="2">
        <f t="shared" si="24"/>
        <v>0</v>
      </c>
      <c r="V34" s="2">
        <f t="shared" si="24"/>
        <v>0</v>
      </c>
      <c r="W34" s="2">
        <f t="shared" si="24"/>
        <v>0</v>
      </c>
      <c r="X34" s="2">
        <f t="shared" si="24"/>
        <v>0</v>
      </c>
      <c r="Y34" s="2">
        <f t="shared" si="24"/>
        <v>3</v>
      </c>
      <c r="Z34" s="2">
        <f t="shared" si="24"/>
        <v>3</v>
      </c>
    </row>
    <row r="35" spans="1:28" x14ac:dyDescent="0.3">
      <c r="A35" s="3" t="s">
        <v>11</v>
      </c>
      <c r="B35" s="3" t="s">
        <v>24</v>
      </c>
      <c r="C35" s="3">
        <v>0</v>
      </c>
      <c r="D35" s="3">
        <v>0</v>
      </c>
      <c r="E35" s="3">
        <v>0</v>
      </c>
      <c r="F35" s="10">
        <f>G35</f>
        <v>45461</v>
      </c>
      <c r="G35" s="10">
        <f>G17</f>
        <v>45461</v>
      </c>
      <c r="I35" s="15">
        <f>SUM(I24:I34)</f>
        <v>6</v>
      </c>
      <c r="J35" s="15">
        <f t="shared" ref="J35:Z35" si="26">SUM(J24:J34)</f>
        <v>12</v>
      </c>
      <c r="K35" s="15">
        <f t="shared" si="26"/>
        <v>12</v>
      </c>
      <c r="L35" s="15">
        <f t="shared" si="26"/>
        <v>3</v>
      </c>
      <c r="M35" s="15">
        <f t="shared" si="26"/>
        <v>3</v>
      </c>
      <c r="N35" s="15">
        <f t="shared" si="26"/>
        <v>3</v>
      </c>
      <c r="O35" s="15">
        <f t="shared" si="26"/>
        <v>3</v>
      </c>
      <c r="P35" s="15">
        <f t="shared" si="26"/>
        <v>11</v>
      </c>
      <c r="Q35" s="15">
        <f t="shared" si="26"/>
        <v>14</v>
      </c>
      <c r="R35" s="15">
        <f t="shared" si="26"/>
        <v>21</v>
      </c>
      <c r="S35" s="15">
        <f t="shared" si="26"/>
        <v>21</v>
      </c>
      <c r="T35" s="15">
        <f t="shared" si="26"/>
        <v>18</v>
      </c>
      <c r="U35" s="15">
        <f t="shared" si="26"/>
        <v>19</v>
      </c>
      <c r="V35" s="15">
        <f t="shared" si="26"/>
        <v>19</v>
      </c>
      <c r="W35" s="15">
        <f t="shared" si="26"/>
        <v>24</v>
      </c>
      <c r="X35" s="15">
        <f t="shared" si="26"/>
        <v>24</v>
      </c>
      <c r="Y35" s="15">
        <f t="shared" si="26"/>
        <v>10</v>
      </c>
      <c r="Z35" s="15">
        <f t="shared" si="26"/>
        <v>10</v>
      </c>
      <c r="AB35" t="s">
        <v>6</v>
      </c>
    </row>
    <row r="36" spans="1:28" x14ac:dyDescent="0.3">
      <c r="I36" s="16">
        <f>I24*$E$6+I25*$E$7+I26*$E$8+I27*$E$9+I28*$E$10+I29*$E$11+I30*$E$12+I31*$E$13+I32*$E$14+I33*$E$15+I34*$E$16</f>
        <v>18</v>
      </c>
      <c r="J36" s="16">
        <f t="shared" ref="J36:Z36" si="27">J24*$E$6+J25*$E$7+J26*$E$8+J27*$E$9+J28*$E$10+J29*$E$11+J30*$E$12+J31*$E$13+J32*$E$14+J33*$E$15+J34*$E$16</f>
        <v>30</v>
      </c>
      <c r="K36" s="16">
        <f t="shared" si="27"/>
        <v>30</v>
      </c>
      <c r="L36" s="16">
        <f t="shared" si="27"/>
        <v>15</v>
      </c>
      <c r="M36" s="16">
        <f t="shared" si="27"/>
        <v>15</v>
      </c>
      <c r="N36" s="16">
        <f t="shared" si="27"/>
        <v>15</v>
      </c>
      <c r="O36" s="16">
        <f t="shared" si="27"/>
        <v>15</v>
      </c>
      <c r="P36" s="16">
        <f t="shared" si="27"/>
        <v>47</v>
      </c>
      <c r="Q36" s="16">
        <f t="shared" si="27"/>
        <v>56</v>
      </c>
      <c r="R36" s="16">
        <f t="shared" si="27"/>
        <v>70</v>
      </c>
      <c r="S36" s="16">
        <f t="shared" si="27"/>
        <v>70</v>
      </c>
      <c r="T36" s="16">
        <f t="shared" si="27"/>
        <v>84</v>
      </c>
      <c r="U36" s="16">
        <f t="shared" si="27"/>
        <v>102</v>
      </c>
      <c r="V36" s="16">
        <f t="shared" si="27"/>
        <v>102</v>
      </c>
      <c r="W36" s="16">
        <f t="shared" si="27"/>
        <v>112</v>
      </c>
      <c r="X36" s="16">
        <f t="shared" si="27"/>
        <v>112</v>
      </c>
      <c r="Y36" s="16">
        <f t="shared" si="27"/>
        <v>48</v>
      </c>
      <c r="Z36" s="16">
        <f t="shared" si="27"/>
        <v>48</v>
      </c>
      <c r="AA36" s="16">
        <f>SUM(I36:Z36)</f>
        <v>989</v>
      </c>
      <c r="AB36" s="11" t="s">
        <v>7</v>
      </c>
    </row>
    <row r="39" spans="1:28" x14ac:dyDescent="0.3">
      <c r="A39" s="2" t="s">
        <v>28</v>
      </c>
      <c r="B39" s="2" t="s">
        <v>29</v>
      </c>
      <c r="C39" s="2" t="s">
        <v>8</v>
      </c>
    </row>
    <row r="40" spans="1:28" x14ac:dyDescent="0.3">
      <c r="A40" s="2">
        <v>0</v>
      </c>
      <c r="B40" s="2" t="s">
        <v>12</v>
      </c>
      <c r="C40" s="2">
        <v>0</v>
      </c>
    </row>
    <row r="41" spans="1:28" x14ac:dyDescent="0.3">
      <c r="A41" s="2">
        <f>G24-G6</f>
        <v>1</v>
      </c>
      <c r="B41" s="2" t="str">
        <f>IF(A41=0,"CRITICA","NON CRITICA")</f>
        <v>NON CRITICA</v>
      </c>
      <c r="C41" s="2">
        <f>IF(B41="CRITICA",E24,0)</f>
        <v>0</v>
      </c>
    </row>
    <row r="42" spans="1:28" x14ac:dyDescent="0.3">
      <c r="A42" s="2">
        <f>G25-G7</f>
        <v>0</v>
      </c>
      <c r="B42" s="2" t="str">
        <f t="shared" ref="B42:B51" si="28">IF(A42=0,"CRITICA","NON CRITICA")</f>
        <v>CRITICA</v>
      </c>
      <c r="C42" s="2">
        <f t="shared" ref="C42:C52" si="29">IF(B42="CRITICA",E25,0)</f>
        <v>3</v>
      </c>
    </row>
    <row r="43" spans="1:28" x14ac:dyDescent="0.3">
      <c r="A43" s="2">
        <f t="shared" ref="A43:A52" si="30">G26-G8</f>
        <v>6</v>
      </c>
      <c r="B43" s="2" t="str">
        <f t="shared" si="28"/>
        <v>NON CRITICA</v>
      </c>
      <c r="C43" s="2">
        <f t="shared" si="29"/>
        <v>0</v>
      </c>
    </row>
    <row r="44" spans="1:28" x14ac:dyDescent="0.3">
      <c r="A44" s="2">
        <f t="shared" si="30"/>
        <v>0</v>
      </c>
      <c r="B44" s="2" t="str">
        <f t="shared" si="28"/>
        <v>CRITICA</v>
      </c>
      <c r="C44" s="2">
        <f t="shared" si="29"/>
        <v>5</v>
      </c>
    </row>
    <row r="45" spans="1:28" x14ac:dyDescent="0.3">
      <c r="A45" s="2">
        <f t="shared" si="30"/>
        <v>4</v>
      </c>
      <c r="B45" s="2" t="str">
        <f t="shared" si="28"/>
        <v>NON CRITICA</v>
      </c>
      <c r="C45" s="2">
        <f t="shared" si="29"/>
        <v>0</v>
      </c>
    </row>
    <row r="46" spans="1:28" x14ac:dyDescent="0.3">
      <c r="A46" s="2">
        <f t="shared" si="30"/>
        <v>0</v>
      </c>
      <c r="B46" s="2" t="str">
        <f t="shared" si="28"/>
        <v>CRITICA</v>
      </c>
      <c r="C46" s="2">
        <f t="shared" si="29"/>
        <v>4</v>
      </c>
    </row>
    <row r="47" spans="1:28" x14ac:dyDescent="0.3">
      <c r="A47" s="2">
        <f t="shared" si="30"/>
        <v>3</v>
      </c>
      <c r="B47" s="2" t="str">
        <f t="shared" si="28"/>
        <v>NON CRITICA</v>
      </c>
      <c r="C47" s="2">
        <f t="shared" si="29"/>
        <v>0</v>
      </c>
    </row>
    <row r="48" spans="1:28" x14ac:dyDescent="0.3">
      <c r="A48" s="2">
        <f t="shared" si="30"/>
        <v>9</v>
      </c>
      <c r="B48" s="2" t="str">
        <f t="shared" si="28"/>
        <v>NON CRITICA</v>
      </c>
      <c r="C48" s="2">
        <f t="shared" si="29"/>
        <v>0</v>
      </c>
      <c r="J48" s="20"/>
    </row>
    <row r="49" spans="1:11" x14ac:dyDescent="0.3">
      <c r="A49" s="2">
        <f t="shared" si="30"/>
        <v>4</v>
      </c>
      <c r="B49" s="2" t="str">
        <f t="shared" si="28"/>
        <v>NON CRITICA</v>
      </c>
      <c r="C49" s="2">
        <f t="shared" si="29"/>
        <v>0</v>
      </c>
      <c r="G49" s="20"/>
    </row>
    <row r="50" spans="1:11" x14ac:dyDescent="0.3">
      <c r="A50" s="2">
        <f t="shared" si="30"/>
        <v>0</v>
      </c>
      <c r="B50" s="2" t="str">
        <f t="shared" si="28"/>
        <v>CRITICA</v>
      </c>
      <c r="C50" s="2">
        <f t="shared" si="29"/>
        <v>6</v>
      </c>
      <c r="K50" s="20"/>
    </row>
    <row r="51" spans="1:11" x14ac:dyDescent="0.3">
      <c r="A51" s="2">
        <f t="shared" si="30"/>
        <v>3</v>
      </c>
      <c r="B51" s="2" t="str">
        <f t="shared" si="28"/>
        <v>NON CRITICA</v>
      </c>
      <c r="C51" s="2">
        <f t="shared" si="29"/>
        <v>0</v>
      </c>
    </row>
    <row r="52" spans="1:11" x14ac:dyDescent="0.3">
      <c r="A52" s="17">
        <f t="shared" si="30"/>
        <v>0</v>
      </c>
      <c r="B52" s="2" t="s">
        <v>12</v>
      </c>
      <c r="C52" s="2">
        <f t="shared" si="29"/>
        <v>0</v>
      </c>
      <c r="G52" s="20"/>
    </row>
    <row r="53" spans="1:11" x14ac:dyDescent="0.3">
      <c r="A53" s="18"/>
      <c r="B53" s="19"/>
      <c r="C53" s="19"/>
    </row>
  </sheetData>
  <mergeCells count="4">
    <mergeCell ref="F3:G3"/>
    <mergeCell ref="F21:G21"/>
    <mergeCell ref="I3:J3"/>
    <mergeCell ref="I21:J21"/>
  </mergeCells>
  <conditionalFormatting sqref="I6:Z16 I18:AA18 I36:AA36">
    <cfRule type="cellIs" dxfId="23" priority="24" operator="equal">
      <formula>0</formula>
    </cfRule>
  </conditionalFormatting>
  <conditionalFormatting sqref="I6:Z16">
    <cfRule type="cellIs" dxfId="22" priority="23" operator="greaterThan">
      <formula>0</formula>
    </cfRule>
  </conditionalFormatting>
  <conditionalFormatting sqref="I7:Z7">
    <cfRule type="cellIs" dxfId="21" priority="22" operator="greaterThan">
      <formula>0</formula>
    </cfRule>
  </conditionalFormatting>
  <conditionalFormatting sqref="I8:Z8">
    <cfRule type="cellIs" dxfId="20" priority="21" operator="greaterThan">
      <formula>0</formula>
    </cfRule>
  </conditionalFormatting>
  <conditionalFormatting sqref="I9:Z9">
    <cfRule type="cellIs" dxfId="19" priority="20" operator="greaterThan">
      <formula>0</formula>
    </cfRule>
  </conditionalFormatting>
  <conditionalFormatting sqref="I10:Z10">
    <cfRule type="cellIs" dxfId="18" priority="19" operator="greaterThan">
      <formula>0</formula>
    </cfRule>
  </conditionalFormatting>
  <conditionalFormatting sqref="I11:Z11">
    <cfRule type="cellIs" dxfId="17" priority="18" operator="greaterThan">
      <formula>0</formula>
    </cfRule>
  </conditionalFormatting>
  <conditionalFormatting sqref="I12:Z12">
    <cfRule type="cellIs" dxfId="16" priority="17" operator="greaterThan">
      <formula>0</formula>
    </cfRule>
  </conditionalFormatting>
  <conditionalFormatting sqref="I13:Z13">
    <cfRule type="cellIs" dxfId="15" priority="16" operator="greaterThan">
      <formula>0</formula>
    </cfRule>
  </conditionalFormatting>
  <conditionalFormatting sqref="I14:Z14">
    <cfRule type="cellIs" dxfId="14" priority="15" operator="greaterThan">
      <formula>0</formula>
    </cfRule>
  </conditionalFormatting>
  <conditionalFormatting sqref="I15:Z15">
    <cfRule type="cellIs" dxfId="13" priority="14" operator="greaterThan">
      <formula>0</formula>
    </cfRule>
  </conditionalFormatting>
  <conditionalFormatting sqref="I16:Z16">
    <cfRule type="cellIs" dxfId="12" priority="13" operator="greaterThan">
      <formula>0</formula>
    </cfRule>
  </conditionalFormatting>
  <conditionalFormatting sqref="I24:Z34">
    <cfRule type="cellIs" dxfId="11" priority="11" operator="greaterThan">
      <formula>0</formula>
    </cfRule>
    <cfRule type="cellIs" dxfId="10" priority="12" operator="equal">
      <formula>0</formula>
    </cfRule>
  </conditionalFormatting>
  <conditionalFormatting sqref="I25:Z25">
    <cfRule type="cellIs" dxfId="9" priority="10" operator="greaterThan">
      <formula>0</formula>
    </cfRule>
  </conditionalFormatting>
  <conditionalFormatting sqref="I26:Z26">
    <cfRule type="cellIs" dxfId="8" priority="9" operator="greaterThan">
      <formula>0</formula>
    </cfRule>
  </conditionalFormatting>
  <conditionalFormatting sqref="I27:Z27">
    <cfRule type="cellIs" dxfId="7" priority="8" operator="greaterThan">
      <formula>0</formula>
    </cfRule>
  </conditionalFormatting>
  <conditionalFormatting sqref="I28:Z28">
    <cfRule type="cellIs" dxfId="6" priority="7" operator="greaterThan">
      <formula>0</formula>
    </cfRule>
  </conditionalFormatting>
  <conditionalFormatting sqref="I29:Z29">
    <cfRule type="cellIs" dxfId="5" priority="6" operator="greaterThan">
      <formula>0</formula>
    </cfRule>
  </conditionalFormatting>
  <conditionalFormatting sqref="I30:Z30">
    <cfRule type="cellIs" dxfId="4" priority="5" operator="greaterThan">
      <formula>0</formula>
    </cfRule>
  </conditionalFormatting>
  <conditionalFormatting sqref="I31:Z31">
    <cfRule type="cellIs" dxfId="3" priority="4" operator="greaterThan">
      <formula>0</formula>
    </cfRule>
  </conditionalFormatting>
  <conditionalFormatting sqref="I32:Z32">
    <cfRule type="cellIs" dxfId="2" priority="3" operator="greaterThan">
      <formula>0</formula>
    </cfRule>
  </conditionalFormatting>
  <conditionalFormatting sqref="I33:Z33">
    <cfRule type="cellIs" dxfId="1" priority="2" operator="greaterThan">
      <formula>0</formula>
    </cfRule>
  </conditionalFormatting>
  <conditionalFormatting sqref="I34:Z34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Chiara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UTENTE16</dc:creator>
  <cp:lastModifiedBy>chiara bernadette d'alia</cp:lastModifiedBy>
  <dcterms:created xsi:type="dcterms:W3CDTF">2024-05-23T06:30:13Z</dcterms:created>
  <dcterms:modified xsi:type="dcterms:W3CDTF">2025-11-11T15:35:01Z</dcterms:modified>
</cp:coreProperties>
</file>